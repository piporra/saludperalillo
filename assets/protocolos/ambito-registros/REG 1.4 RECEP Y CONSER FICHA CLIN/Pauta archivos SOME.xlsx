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UNCIONARIO\Desktop\"/>
    </mc:Choice>
  </mc:AlternateContent>
  <xr:revisionPtr revIDLastSave="0" documentId="13_ncr:1_{22F2D107-25BD-4DFA-BADB-293C122AC7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as clinicas SOME 1 SEM" sheetId="1" r:id="rId1"/>
    <sheet name="Fichas clinicas SOME 2 SEM" sheetId="2" r:id="rId2"/>
    <sheet name="Hoja1" sheetId="3" state="hidden" r:id="rId3"/>
  </sheets>
  <calcPr calcId="181029"/>
  <extLst>
    <ext uri="GoogleSheetsCustomDataVersion2">
      <go:sheetsCustomData xmlns:go="http://customooxmlschemas.google.com/" r:id="rId7" roundtripDataChecksum="Xjd5ZzNUAdLDzSAcYGaUPtBSV7ANleBVU2DdslAhQvA="/>
    </ext>
  </extLst>
</workbook>
</file>

<file path=xl/calcChain.xml><?xml version="1.0" encoding="utf-8"?>
<calcChain xmlns="http://schemas.openxmlformats.org/spreadsheetml/2006/main">
  <c r="Q16" i="2" l="1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O16" i="1" s="1"/>
  <c r="M5" i="3"/>
  <c r="L5" i="3"/>
  <c r="K5" i="3"/>
  <c r="J5" i="3"/>
  <c r="I5" i="3"/>
  <c r="H5" i="3"/>
  <c r="G5" i="3"/>
  <c r="F5" i="3"/>
  <c r="G16" i="1" s="1"/>
  <c r="E5" i="3"/>
  <c r="D5" i="3"/>
  <c r="C5" i="3"/>
  <c r="B5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M16" i="1" s="1"/>
  <c r="K4" i="3"/>
  <c r="L16" i="1" s="1"/>
  <c r="J4" i="3"/>
  <c r="I4" i="3"/>
  <c r="H4" i="3"/>
  <c r="G4" i="3"/>
  <c r="F4" i="3"/>
  <c r="E4" i="3"/>
  <c r="D4" i="3"/>
  <c r="E16" i="1" s="1"/>
  <c r="C4" i="3"/>
  <c r="D16" i="1" s="1"/>
  <c r="B4" i="3"/>
  <c r="J16" i="1" l="1"/>
  <c r="F16" i="1"/>
  <c r="N16" i="1"/>
  <c r="I16" i="1"/>
  <c r="Q16" i="1"/>
  <c r="H16" i="1"/>
  <c r="P16" i="1"/>
  <c r="C16" i="1"/>
  <c r="B8" i="3" s="1"/>
  <c r="K16" i="1"/>
  <c r="C8" i="3" l="1"/>
</calcChain>
</file>

<file path=xl/sharedStrings.xml><?xml version="1.0" encoding="utf-8"?>
<sst xmlns="http://schemas.openxmlformats.org/spreadsheetml/2006/main" count="44" uniqueCount="28">
  <si>
    <t>UNIDAD:</t>
  </si>
  <si>
    <t>PERSONA QUE EVALÚA:</t>
  </si>
  <si>
    <t>CONDUCTA:(completar con si/no)</t>
  </si>
  <si>
    <t>Manos y muñecas libres de accesorios</t>
  </si>
  <si>
    <t>Se mojan manos con agua corriente</t>
  </si>
  <si>
    <t>Se aplica jabón de dispensador</t>
  </si>
  <si>
    <t>Se friccionan dedos y manos poniendo énfasis en espacios interdigitales</t>
  </si>
  <si>
    <t>Se enjuaga manos con abundante agua sin dejar jabón residual</t>
  </si>
  <si>
    <t>Se seca con toalla desechable</t>
  </si>
  <si>
    <t>Cierra la llave sin contaminar manos</t>
  </si>
  <si>
    <t>Resultado</t>
  </si>
  <si>
    <t>Aprobados</t>
  </si>
  <si>
    <t>Reprobados</t>
  </si>
  <si>
    <t>Criterios</t>
  </si>
  <si>
    <t>SI</t>
  </si>
  <si>
    <t>NO</t>
  </si>
  <si>
    <t xml:space="preserve">PAUTA DE SUPERVISIÓN RECEPCIÓN DE FICHAS CLÍNICAS EN ARCHIVO- SOME CESFAM.
</t>
  </si>
  <si>
    <t>EVALUAR SERVICIOS: UNIDAD DE ARCHIVO- SOME CESFAM DR. ORLANDO LEYTON A. PERALILLO</t>
  </si>
  <si>
    <t>SOME CESFAM</t>
  </si>
  <si>
    <t>FECHA DE EVALUACIÓN:</t>
  </si>
  <si>
    <t>MUESTREO POR CONVENIENCIA DE 15 PERSONAS SEMESTRALMENTE SEGÚN OPORTUNIDAD</t>
  </si>
  <si>
    <t>Registro contiene fecha de solicitud de ficha</t>
  </si>
  <si>
    <t>Registro identifica la ficha extraida (nombre y/o RUN)</t>
  </si>
  <si>
    <t>Registro identifica al funcionario que se lleva de ficha desde unidad de archivo-SOME</t>
  </si>
  <si>
    <t xml:space="preserve">Registro contiene la fecha de devolución de la ficha </t>
  </si>
  <si>
    <t>Se cumple con el plazo de devolución de la ficha a unidad de archivo- SOME (3 días hábiles)</t>
  </si>
  <si>
    <t>Registro contiene el nombre de la persona de unidad de archivo- SOME que recibe la ficha y la archiva</t>
  </si>
  <si>
    <t>La ficha se encuentra físicamente en unidad de archivo- 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</si>
</sst>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b/>
      <sz val="11"/>
      <color rgb="FF2E75B5"/>
      <name val="Calibri"/>
    </font>
    <font>
      <i/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right"/>
    </xf>
    <xf numFmtId="0" fontId="4" fillId="0" borderId="2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4" xfId="0" applyFont="1" applyBorder="1"/>
    <xf numFmtId="14" fontId="3" fillId="0" borderId="1" xfId="0" applyNumberFormat="1" applyFont="1" applyBorder="1" applyAlignment="1">
      <alignment horizontal="left"/>
    </xf>
    <xf numFmtId="0" fontId="4" fillId="3" borderId="6" xfId="0" applyFont="1" applyFill="1" applyBorder="1"/>
    <xf numFmtId="17" fontId="4" fillId="3" borderId="6" xfId="0" applyNumberFormat="1" applyFont="1" applyFill="1" applyBorder="1"/>
    <xf numFmtId="0" fontId="3" fillId="0" borderId="7" xfId="0" applyFont="1" applyBorder="1" applyAlignment="1">
      <alignment horizontal="left" vertic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11" xfId="0" applyFont="1" applyBorder="1" applyAlignment="1">
      <alignment horizontal="left" vertical="center"/>
    </xf>
    <xf numFmtId="0" fontId="4" fillId="0" borderId="11" xfId="0" applyFont="1" applyBorder="1"/>
    <xf numFmtId="0" fontId="5" fillId="0" borderId="0" xfId="0" applyFont="1"/>
    <xf numFmtId="0" fontId="6" fillId="0" borderId="0" xfId="0" applyFont="1" applyAlignment="1">
      <alignment vertical="top"/>
    </xf>
    <xf numFmtId="0" fontId="6" fillId="0" borderId="8" xfId="0" applyFont="1" applyBorder="1" applyAlignment="1">
      <alignment vertical="top" wrapText="1"/>
    </xf>
    <xf numFmtId="0" fontId="6" fillId="0" borderId="8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center"/>
    </xf>
    <xf numFmtId="0" fontId="4" fillId="0" borderId="5" xfId="0" applyFont="1" applyBorder="1"/>
    <xf numFmtId="0" fontId="4" fillId="0" borderId="12" xfId="0" applyFont="1" applyBorder="1" applyAlignment="1">
      <alignment vertical="top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</dxfs>
  <tableStyles count="3">
    <tableStyle name="lavado manos-style" pivot="0" count="2" xr9:uid="{00000000-0011-0000-FFFF-FFFF00000000}">
      <tableStyleElement type="firstRowStripe" dxfId="9"/>
      <tableStyleElement type="secondRowStripe" dxfId="8"/>
    </tableStyle>
    <tableStyle name="Hoja1-style" pivot="0" count="3" xr9:uid="{00000000-0011-0000-FFFF-FFFF01000000}">
      <tableStyleElement type="headerRow" dxfId="7"/>
      <tableStyleElement type="firstRowStripe" dxfId="6"/>
      <tableStyleElement type="secondRowStripe" dxfId="5"/>
    </tableStyle>
    <tableStyle name="Hoja1-style 2" pivot="0" count="3" xr9:uid="{00000000-0011-0000-FFFF-FFFF02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C5D1-424B-89A7-D9C5096C65A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Hoja1!$B$7:$C$7</c:f>
              <c:strCache>
                <c:ptCount val="2"/>
                <c:pt idx="0">
                  <c:v>Aprobados</c:v>
                </c:pt>
                <c:pt idx="1">
                  <c:v>Reprobados</c:v>
                </c:pt>
              </c:strCache>
            </c:strRef>
          </c:cat>
          <c:val>
            <c:numRef>
              <c:f>Hoja1!$B$8:$C$8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1-424B-89A7-D9C5096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0"/>
    <c:plotArea>
      <c:layout>
        <c:manualLayout>
          <c:layoutTarget val="inner"/>
          <c:xMode val="edge"/>
          <c:yMode val="edge"/>
          <c:x val="6.5586739416908985E-2"/>
          <c:y val="0.10871302957633892"/>
          <c:w val="0.84687566025201211"/>
          <c:h val="0.60881386229598999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'Fichas clinicas SOME 1 SEM'!$B$9:$B$15</c:f>
              <c:strCache>
                <c:ptCount val="7"/>
                <c:pt idx="0">
                  <c:v>Registro contiene fecha de solicitud de ficha</c:v>
                </c:pt>
                <c:pt idx="1">
                  <c:v>Registro identifica la ficha extraida (nombre y/o RUN)</c:v>
                </c:pt>
                <c:pt idx="2">
                  <c:v>Registro identifica al funcionario que se lleva de ficha desde unidad de archivo-SOME</c:v>
                </c:pt>
                <c:pt idx="3">
                  <c:v>Registro contiene la fecha de devolución de la ficha </c:v>
                </c:pt>
                <c:pt idx="4">
                  <c:v>Se cumple con el plazo de devolución de la ficha a unidad de archivo- SOME (3 días hábiles)</c:v>
                </c:pt>
                <c:pt idx="5">
                  <c:v>Registro contiene el nombre de la persona de unidad de archivo- SOME que recibe la ficha y la archiva</c:v>
                </c:pt>
                <c:pt idx="6">
                  <c:v>La ficha se encuentra físicamente en unidad de archivo- SOME</c:v>
                </c:pt>
              </c:strCache>
            </c:strRef>
          </c:cat>
          <c:val>
            <c:numRef>
              <c:f>Hoja1!$B$16:$B$22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542-4AC5-A3ED-50D4366C8328}"/>
            </c:ext>
          </c:extLst>
        </c:ser>
        <c:ser>
          <c:idx val="1"/>
          <c:order val="1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'Fichas clinicas SOME 1 SEM'!$B$9:$B$15</c:f>
              <c:strCache>
                <c:ptCount val="7"/>
                <c:pt idx="0">
                  <c:v>Registro contiene fecha de solicitud de ficha</c:v>
                </c:pt>
                <c:pt idx="1">
                  <c:v>Registro identifica la ficha extraida (nombre y/o RUN)</c:v>
                </c:pt>
                <c:pt idx="2">
                  <c:v>Registro identifica al funcionario que se lleva de ficha desde unidad de archivo-SOME</c:v>
                </c:pt>
                <c:pt idx="3">
                  <c:v>Registro contiene la fecha de devolución de la ficha </c:v>
                </c:pt>
                <c:pt idx="4">
                  <c:v>Se cumple con el plazo de devolución de la ficha a unidad de archivo- SOME (3 días hábiles)</c:v>
                </c:pt>
                <c:pt idx="5">
                  <c:v>Registro contiene el nombre de la persona de unidad de archivo- SOME que recibe la ficha y la archiva</c:v>
                </c:pt>
                <c:pt idx="6">
                  <c:v>La ficha se encuentra físicamente en unidad de archivo- SOME</c:v>
                </c:pt>
              </c:strCache>
            </c:strRef>
          </c:cat>
          <c:val>
            <c:numRef>
              <c:f>Hoja1!$C$16:$C$22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542-4AC5-A3ED-50D4366C8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3946569"/>
        <c:axId val="1260517848"/>
      </c:barChart>
      <c:catAx>
        <c:axId val="323946569"/>
        <c:scaling>
          <c:orientation val="minMax"/>
        </c:scaling>
        <c:delete val="0"/>
        <c:axPos val="b"/>
        <c:title>
          <c:overlay val="0"/>
          <c:txPr>
            <a:bodyPr/>
            <a:lstStyle/>
            <a:p>
              <a:pPr>
                <a:defRPr>
                  <a:noFill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260517848"/>
        <c:crosses val="autoZero"/>
        <c:auto val="0"/>
        <c:lblAlgn val="ctr"/>
        <c:lblOffset val="100"/>
        <c:tickLblSkip val="1"/>
        <c:noMultiLvlLbl val="1"/>
      </c:catAx>
      <c:valAx>
        <c:axId val="1260517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Porcentaje de cumplimiento del factor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323946569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16DC-4AE1-9BE8-536E84FB355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Hoja1!$B$7:$C$7</c:f>
              <c:strCache>
                <c:ptCount val="2"/>
                <c:pt idx="0">
                  <c:v>Aprobados</c:v>
                </c:pt>
                <c:pt idx="1">
                  <c:v>Reprobados</c:v>
                </c:pt>
              </c:strCache>
            </c:strRef>
          </c:cat>
          <c:val>
            <c:numRef>
              <c:f>Hoja1!$B$8:$C$8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DC-4AE1-9BE8-536E84FB3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586739416908985E-2"/>
          <c:y val="0.10871302957633892"/>
          <c:w val="0.84687566025201211"/>
          <c:h val="0.60881386229598999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'Fichas clinicas SOME 1 SEM'!$B$9:$B$15</c:f>
              <c:strCache>
                <c:ptCount val="7"/>
                <c:pt idx="0">
                  <c:v>Registro contiene fecha de solicitud de ficha</c:v>
                </c:pt>
                <c:pt idx="1">
                  <c:v>Registro identifica la ficha extraida (nombre y/o RUN)</c:v>
                </c:pt>
                <c:pt idx="2">
                  <c:v>Registro identifica al funcionario que se lleva de ficha desde unidad de archivo-SOME</c:v>
                </c:pt>
                <c:pt idx="3">
                  <c:v>Registro contiene la fecha de devolución de la ficha </c:v>
                </c:pt>
                <c:pt idx="4">
                  <c:v>Se cumple con el plazo de devolución de la ficha a unidad de archivo- SOME (3 días hábiles)</c:v>
                </c:pt>
                <c:pt idx="5">
                  <c:v>Registro contiene el nombre de la persona de unidad de archivo- SOME que recibe la ficha y la archiva</c:v>
                </c:pt>
                <c:pt idx="6">
                  <c:v>La ficha se encuentra físicamente en unidad de archivo- SOME</c:v>
                </c:pt>
              </c:strCache>
            </c:strRef>
          </c:cat>
          <c:val>
            <c:numRef>
              <c:f>Hoja1!$B$16:$B$22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14-407C-8D62-71F0DC4BD7B1}"/>
            </c:ext>
          </c:extLst>
        </c:ser>
        <c:ser>
          <c:idx val="1"/>
          <c:order val="1"/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'Fichas clinicas SOME 1 SEM'!$B$9:$B$15</c:f>
              <c:strCache>
                <c:ptCount val="7"/>
                <c:pt idx="0">
                  <c:v>Registro contiene fecha de solicitud de ficha</c:v>
                </c:pt>
                <c:pt idx="1">
                  <c:v>Registro identifica la ficha extraida (nombre y/o RUN)</c:v>
                </c:pt>
                <c:pt idx="2">
                  <c:v>Registro identifica al funcionario que se lleva de ficha desde unidad de archivo-SOME</c:v>
                </c:pt>
                <c:pt idx="3">
                  <c:v>Registro contiene la fecha de devolución de la ficha </c:v>
                </c:pt>
                <c:pt idx="4">
                  <c:v>Se cumple con el plazo de devolución de la ficha a unidad de archivo- SOME (3 días hábiles)</c:v>
                </c:pt>
                <c:pt idx="5">
                  <c:v>Registro contiene el nombre de la persona de unidad de archivo- SOME que recibe la ficha y la archiva</c:v>
                </c:pt>
                <c:pt idx="6">
                  <c:v>La ficha se encuentra físicamente en unidad de archivo- SOME</c:v>
                </c:pt>
              </c:strCache>
            </c:strRef>
          </c:cat>
          <c:val>
            <c:numRef>
              <c:f>Hoja1!$C$16:$C$22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C14-407C-8D62-71F0DC4BD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3946569"/>
        <c:axId val="1260517848"/>
      </c:barChart>
      <c:catAx>
        <c:axId val="323946569"/>
        <c:scaling>
          <c:orientation val="minMax"/>
        </c:scaling>
        <c:delete val="0"/>
        <c:axPos val="b"/>
        <c:title>
          <c:overlay val="0"/>
          <c:txPr>
            <a:bodyPr/>
            <a:lstStyle/>
            <a:p>
              <a:pPr>
                <a:defRPr>
                  <a:noFill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260517848"/>
        <c:crosses val="autoZero"/>
        <c:auto val="0"/>
        <c:lblAlgn val="ctr"/>
        <c:lblOffset val="100"/>
        <c:tickLblSkip val="1"/>
        <c:noMultiLvlLbl val="1"/>
      </c:catAx>
      <c:valAx>
        <c:axId val="1260517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Porcentaje de cumplimiento del factor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323946569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647700</xdr:colOff>
      <xdr:row>19</xdr:row>
      <xdr:rowOff>104775</xdr:rowOff>
    </xdr:from>
    <xdr:ext cx="4143375" cy="2876550"/>
    <xdr:graphicFrame macro="">
      <xdr:nvGraphicFramePr>
        <xdr:cNvPr id="694330885" name="Chart 1">
          <a:extLst>
            <a:ext uri="{FF2B5EF4-FFF2-40B4-BE49-F238E27FC236}">
              <a16:creationId xmlns:a16="http://schemas.microsoft.com/office/drawing/2014/main" id="{00000000-0008-0000-0000-000005A66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771525</xdr:colOff>
      <xdr:row>18</xdr:row>
      <xdr:rowOff>142875</xdr:rowOff>
    </xdr:from>
    <xdr:ext cx="9182100" cy="3971925"/>
    <xdr:graphicFrame macro="">
      <xdr:nvGraphicFramePr>
        <xdr:cNvPr id="1268884122" name="Chart 2">
          <a:extLst>
            <a:ext uri="{FF2B5EF4-FFF2-40B4-BE49-F238E27FC236}">
              <a16:creationId xmlns:a16="http://schemas.microsoft.com/office/drawing/2014/main" id="{00000000-0008-0000-0000-00009AA2A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647700</xdr:colOff>
      <xdr:row>19</xdr:row>
      <xdr:rowOff>104775</xdr:rowOff>
    </xdr:from>
    <xdr:ext cx="4143375" cy="287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EDEF9-939A-4AF2-8DEB-24AF5EBA7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771525</xdr:colOff>
      <xdr:row>18</xdr:row>
      <xdr:rowOff>142875</xdr:rowOff>
    </xdr:from>
    <xdr:ext cx="9182100" cy="39719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B6AD0D-4730-406D-9F36-E3E74CFCE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9:AI15" headerRowCount="0">
  <tableColumns count="34">
    <tableColumn id="1" xr3:uid="{00000000-0010-0000-0000-000001000000}" name="Column1" dataDxfId="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</tableColumns>
  <tableStyleInfo name="lavado man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32C64B-AC1D-4C7D-A2B4-73696998CAFA}" name="Table_15" displayName="Table_15" ref="B9:AI15" headerRowCount="0">
  <tableColumns count="34">
    <tableColumn id="1" xr3:uid="{75864E5A-1AE5-4E87-8A36-7CFF3AFA07CD}" name="Column1" dataDxfId="0"/>
    <tableColumn id="2" xr3:uid="{45C19F07-F4AD-48C8-B6FA-0B51042C44CE}" name="Column2"/>
    <tableColumn id="3" xr3:uid="{0194D9DE-47D9-4F2D-B881-AEC9D3823FC2}" name="Column3"/>
    <tableColumn id="4" xr3:uid="{23451241-DF20-4135-BBF2-B52E1F6FB922}" name="Column4"/>
    <tableColumn id="5" xr3:uid="{67002726-63AC-48AF-B70E-74E95A5F7311}" name="Column5"/>
    <tableColumn id="6" xr3:uid="{DCF2F6F9-35E2-4189-BFD0-A1409F9BD5E6}" name="Column6"/>
    <tableColumn id="7" xr3:uid="{8AEC76EC-CEF0-4CBD-86BD-0E63DC6FEABD}" name="Column7"/>
    <tableColumn id="8" xr3:uid="{0D46197B-AC6B-4B04-B527-E2B0BD02F5C1}" name="Column8"/>
    <tableColumn id="9" xr3:uid="{B95935C5-D796-46BB-B0B1-3929BB83F751}" name="Column9"/>
    <tableColumn id="10" xr3:uid="{7C677375-DB6C-4D8E-A3A4-96D2C5688DF5}" name="Column10"/>
    <tableColumn id="11" xr3:uid="{44B7276B-565E-49CB-8171-7DDCA9420912}" name="Column11"/>
    <tableColumn id="12" xr3:uid="{3095C4BB-E986-42A0-AE50-DEEF0193A841}" name="Column12"/>
    <tableColumn id="13" xr3:uid="{4B854BB9-0A29-499C-8EB0-9D8C619DA09A}" name="Column13"/>
    <tableColumn id="14" xr3:uid="{7FF0774B-4693-479D-8F2A-08D85CE69D1C}" name="Column14"/>
    <tableColumn id="15" xr3:uid="{451749DE-A4C7-4BEB-B549-A8D0862813FD}" name="Column15"/>
    <tableColumn id="16" xr3:uid="{68ADF1D5-1DB6-4CCF-BFE8-E915273F55CF}" name="Column16"/>
    <tableColumn id="17" xr3:uid="{11727123-34B5-4669-9F5D-4000B75AC1FF}" name="Column17"/>
    <tableColumn id="18" xr3:uid="{F2E9B924-3EAE-4677-BD5F-9AFB2FF844A7}" name="Column18"/>
    <tableColumn id="19" xr3:uid="{CC7AC090-ADEC-47F9-B687-48E713593690}" name="Column19"/>
    <tableColumn id="20" xr3:uid="{2DC1F016-439C-429B-A17E-3284D782A014}" name="Column20"/>
    <tableColumn id="21" xr3:uid="{20D2EA15-BF00-4935-8941-1BA7E940F92E}" name="Column21"/>
    <tableColumn id="22" xr3:uid="{48C62C20-2F98-4372-83C0-D470B153BC3F}" name="Column22"/>
    <tableColumn id="23" xr3:uid="{0CB91207-8353-4C82-BBFD-8AF4700A8889}" name="Column23"/>
    <tableColumn id="24" xr3:uid="{93E8EBCE-CCB8-453B-A383-A25048580F47}" name="Column24"/>
    <tableColumn id="25" xr3:uid="{AED2009E-C98A-4464-839E-C911BEAB8816}" name="Column25"/>
    <tableColumn id="26" xr3:uid="{1D84772D-8E48-44B2-8899-33475C3CB3B4}" name="Column26"/>
    <tableColumn id="27" xr3:uid="{E5EC98E9-3A5C-4E7C-81A7-580BF9A2728B}" name="Column27"/>
    <tableColumn id="28" xr3:uid="{B5228B1C-7C4F-41EB-AEE9-5E7D0D58ED59}" name="Column28"/>
    <tableColumn id="29" xr3:uid="{591754AE-8F7C-4563-92BE-57710B65C176}" name="Column29"/>
    <tableColumn id="30" xr3:uid="{7A865768-DA27-4CC3-A557-3DDF749555F7}" name="Column30"/>
    <tableColumn id="31" xr3:uid="{80BAA1A9-66D7-4F37-9EE3-753A60947167}" name="Column31"/>
    <tableColumn id="32" xr3:uid="{0E965F56-D7F8-4570-8A9E-1791221C66FE}" name="Column32"/>
    <tableColumn id="33" xr3:uid="{54FB4DF0-1281-46FC-8EC4-14797BFF1BE7}" name="Column33"/>
    <tableColumn id="34" xr3:uid="{F81295C4-7C93-4710-A9AC-12BEF7275E34}" name="Column34"/>
  </tableColumns>
  <tableStyleInfo name="lavado mano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7:C8">
  <tableColumns count="2">
    <tableColumn id="1" xr3:uid="{00000000-0010-0000-0100-000001000000}" name="Aprobados"/>
    <tableColumn id="2" xr3:uid="{00000000-0010-0000-0100-000002000000}" name="Reprobados"/>
  </tableColumns>
  <tableStyleInfo name="Hoja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5:C22">
  <tableColumns count="3">
    <tableColumn id="1" xr3:uid="{00000000-0010-0000-0200-000001000000}" name="Criterios"/>
    <tableColumn id="2" xr3:uid="{00000000-0010-0000-0200-000002000000}" name="SI"/>
    <tableColumn id="3" xr3:uid="{00000000-0010-0000-0200-000003000000}" name="NO"/>
  </tableColumns>
  <tableStyleInfo name="Hoja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1000"/>
  <sheetViews>
    <sheetView tabSelected="1" zoomScale="80" zoomScaleNormal="80" workbookViewId="0">
      <selection activeCell="B8" sqref="B8"/>
    </sheetView>
  </sheetViews>
  <sheetFormatPr baseColWidth="10" defaultColWidth="14.44140625" defaultRowHeight="15" customHeight="1" x14ac:dyDescent="0.3"/>
  <cols>
    <col min="1" max="1" width="10.6640625" customWidth="1"/>
    <col min="2" max="2" width="43.5546875" customWidth="1"/>
    <col min="3" max="5" width="17.88671875" customWidth="1"/>
    <col min="6" max="6" width="16.88671875" customWidth="1"/>
    <col min="7" max="7" width="17.44140625" customWidth="1"/>
    <col min="8" max="9" width="17" customWidth="1"/>
    <col min="10" max="14" width="16.88671875" customWidth="1"/>
    <col min="15" max="15" width="18.88671875" customWidth="1"/>
    <col min="16" max="16" width="17.44140625" customWidth="1"/>
    <col min="17" max="17" width="17" customWidth="1"/>
    <col min="18" max="18" width="18.109375" customWidth="1"/>
    <col min="19" max="19" width="19.44140625" customWidth="1"/>
    <col min="20" max="20" width="22.109375" customWidth="1"/>
    <col min="21" max="21" width="20" customWidth="1"/>
    <col min="22" max="22" width="20.109375" customWidth="1"/>
    <col min="23" max="23" width="21.109375" customWidth="1"/>
    <col min="24" max="24" width="22.6640625" customWidth="1"/>
    <col min="25" max="25" width="16.88671875" customWidth="1"/>
    <col min="26" max="26" width="20.5546875" customWidth="1"/>
    <col min="27" max="27" width="20.88671875" customWidth="1"/>
    <col min="28" max="28" width="16.88671875" customWidth="1"/>
    <col min="29" max="29" width="20.6640625" customWidth="1"/>
    <col min="30" max="31" width="21.5546875" customWidth="1"/>
    <col min="32" max="32" width="18.109375" customWidth="1"/>
    <col min="33" max="33" width="18.6640625" customWidth="1"/>
    <col min="34" max="34" width="16" customWidth="1"/>
    <col min="35" max="35" width="14.33203125" customWidth="1"/>
  </cols>
  <sheetData>
    <row r="2" spans="2:35" ht="24" customHeight="1" x14ac:dyDescent="0.3">
      <c r="B2" s="23" t="s">
        <v>16</v>
      </c>
      <c r="C2" s="23"/>
      <c r="D2" s="23"/>
      <c r="E2" s="23"/>
    </row>
    <row r="3" spans="2:35" ht="14.4" x14ac:dyDescent="0.3">
      <c r="B3" s="1" t="s">
        <v>17</v>
      </c>
      <c r="C3" s="1"/>
      <c r="D3" s="1"/>
      <c r="E3" s="1"/>
    </row>
    <row r="4" spans="2:35" ht="14.4" x14ac:dyDescent="0.3">
      <c r="B4" s="1"/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</row>
    <row r="5" spans="2:35" ht="22.5" customHeight="1" x14ac:dyDescent="0.3">
      <c r="B5" s="2" t="s">
        <v>0</v>
      </c>
      <c r="C5" s="3" t="s">
        <v>18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  <c r="AA5" s="5"/>
      <c r="AB5" s="3"/>
      <c r="AC5" s="6"/>
      <c r="AD5" s="6"/>
      <c r="AE5" s="4"/>
      <c r="AF5" s="6"/>
      <c r="AG5" s="4"/>
      <c r="AH5" s="3"/>
      <c r="AI5" s="4"/>
    </row>
    <row r="6" spans="2:35" ht="20.25" customHeight="1" x14ac:dyDescent="0.3">
      <c r="B6" s="2" t="s">
        <v>19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2:35" ht="20.25" customHeight="1" x14ac:dyDescent="0.3">
      <c r="B7" s="2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2:35" ht="15.6" x14ac:dyDescent="0.3">
      <c r="B8" s="28" t="s">
        <v>2</v>
      </c>
      <c r="C8" s="8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2:35" ht="27" customHeight="1" x14ac:dyDescent="0.3">
      <c r="B9" s="30" t="s">
        <v>21</v>
      </c>
      <c r="C9" s="26"/>
      <c r="D9" s="10"/>
      <c r="E9" s="10"/>
      <c r="F9" s="10"/>
      <c r="G9" s="10"/>
      <c r="H9" s="10"/>
      <c r="I9" s="10"/>
      <c r="J9" s="10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2"/>
    </row>
    <row r="10" spans="2:35" ht="27" customHeight="1" x14ac:dyDescent="0.3">
      <c r="B10" s="30" t="s">
        <v>22</v>
      </c>
      <c r="C10" s="26"/>
      <c r="D10" s="10"/>
      <c r="E10" s="10"/>
      <c r="F10" s="10"/>
      <c r="G10" s="10"/>
      <c r="H10" s="10"/>
      <c r="I10" s="10"/>
      <c r="J10" s="10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2"/>
    </row>
    <row r="11" spans="2:35" ht="32.25" customHeight="1" x14ac:dyDescent="0.3">
      <c r="B11" s="30" t="s">
        <v>23</v>
      </c>
      <c r="C11" s="26"/>
      <c r="D11" s="10"/>
      <c r="E11" s="10"/>
      <c r="F11" s="10"/>
      <c r="G11" s="10"/>
      <c r="H11" s="10"/>
      <c r="I11" s="10"/>
      <c r="J11" s="10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2"/>
    </row>
    <row r="12" spans="2:35" ht="31.5" customHeight="1" x14ac:dyDescent="0.3">
      <c r="B12" s="30" t="s">
        <v>24</v>
      </c>
      <c r="C12" s="26"/>
      <c r="D12" s="10"/>
      <c r="E12" s="10"/>
      <c r="F12" s="10"/>
      <c r="G12" s="10"/>
      <c r="H12" s="10"/>
      <c r="I12" s="10"/>
      <c r="J12" s="10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2"/>
    </row>
    <row r="13" spans="2:35" ht="49.8" customHeight="1" x14ac:dyDescent="0.3">
      <c r="B13" s="30" t="s">
        <v>25</v>
      </c>
      <c r="C13" s="26"/>
      <c r="D13" s="10"/>
      <c r="E13" s="10"/>
      <c r="F13" s="10"/>
      <c r="G13" s="10"/>
      <c r="H13" s="10"/>
      <c r="I13" s="10"/>
      <c r="J13" s="10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2"/>
    </row>
    <row r="14" spans="2:35" ht="50.4" customHeight="1" x14ac:dyDescent="0.3">
      <c r="B14" s="30" t="s">
        <v>26</v>
      </c>
      <c r="C14" s="26"/>
      <c r="D14" s="10"/>
      <c r="E14" s="10"/>
      <c r="F14" s="10"/>
      <c r="G14" s="10"/>
      <c r="H14" s="10"/>
      <c r="I14" s="10"/>
      <c r="J14" s="10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2"/>
    </row>
    <row r="15" spans="2:35" ht="34.799999999999997" customHeight="1" x14ac:dyDescent="0.3">
      <c r="B15" s="30" t="s">
        <v>27</v>
      </c>
      <c r="C15" s="27"/>
      <c r="D15" s="10"/>
      <c r="E15" s="10"/>
      <c r="F15" s="10"/>
      <c r="G15" s="10"/>
      <c r="H15" s="10"/>
      <c r="I15" s="10"/>
      <c r="J15" s="10"/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3"/>
      <c r="AD15" s="13"/>
      <c r="AE15" s="13"/>
      <c r="AF15" s="13"/>
      <c r="AG15" s="13"/>
      <c r="AH15" s="13"/>
      <c r="AI15" s="14"/>
    </row>
    <row r="16" spans="2:35" ht="21" customHeight="1" x14ac:dyDescent="0.3">
      <c r="B16" s="29" t="s">
        <v>10</v>
      </c>
      <c r="C16" s="25" t="str">
        <f>IF(Hoja1!B4+Hoja1!B5&lt;7," ",IF(Hoja1!B4=7,"Aprobado","Reprobado"))</f>
        <v xml:space="preserve"> </v>
      </c>
      <c r="D16" s="24" t="str">
        <f>IF(Hoja1!C4+Hoja1!C5&lt;7," ",IF(Hoja1!C4=7,"Aprobado","Reprobado"))</f>
        <v xml:space="preserve"> </v>
      </c>
      <c r="E16" s="15" t="str">
        <f>IF(Hoja1!D4+Hoja1!D5&lt;7," ",IF(Hoja1!D4=7,"Aprobado","Reprobado"))</f>
        <v xml:space="preserve"> </v>
      </c>
      <c r="F16" s="15" t="str">
        <f>IF(Hoja1!E4+Hoja1!E5&lt;7," ",IF(Hoja1!E4=7,"Aprobado","Reprobado"))</f>
        <v xml:space="preserve"> </v>
      </c>
      <c r="G16" s="15" t="str">
        <f>IF(Hoja1!F4+Hoja1!F5&lt;7," ",IF(Hoja1!F4=7,"Aprobado","Reprobado"))</f>
        <v xml:space="preserve"> </v>
      </c>
      <c r="H16" s="16" t="str">
        <f>IF(Hoja1!G4+Hoja1!G5&lt;7," ",IF(Hoja1!G4=7,"Aprobado","Reprobado"))</f>
        <v xml:space="preserve"> </v>
      </c>
      <c r="I16" s="16" t="str">
        <f>IF(Hoja1!H4+Hoja1!H5&lt;7," ",IF(Hoja1!H4=7,"Aprobado","Reprobado"))</f>
        <v xml:space="preserve"> </v>
      </c>
      <c r="J16" s="16" t="str">
        <f>IF(Hoja1!I4+Hoja1!I5&lt;7," ",IF(Hoja1!I4=7,"Aprobado","Reprobado"))</f>
        <v xml:space="preserve"> </v>
      </c>
      <c r="K16" s="16" t="str">
        <f>IF(Hoja1!J4+Hoja1!J5&lt;7," ",IF(Hoja1!J4=7,"Aprobado","Reprobado"))</f>
        <v xml:space="preserve"> </v>
      </c>
      <c r="L16" s="16" t="str">
        <f>IF(Hoja1!K4+Hoja1!K5&lt;7," ",IF(Hoja1!K4=7,"Aprobado","Reprobado"))</f>
        <v xml:space="preserve"> </v>
      </c>
      <c r="M16" s="16" t="str">
        <f>IF(Hoja1!L4+Hoja1!L5&lt;7," ",IF(Hoja1!L4=7,"Aprobado","Reprobado"))</f>
        <v xml:space="preserve"> </v>
      </c>
      <c r="N16" s="16" t="str">
        <f>IF(Hoja1!M4+Hoja1!M5&lt;7," ",IF(Hoja1!M4=7,"Aprobado","Reprobado"))</f>
        <v xml:space="preserve"> </v>
      </c>
      <c r="O16" s="16" t="str">
        <f>IF(Hoja1!N4+Hoja1!N5&lt;7," ",IF(Hoja1!N4=7,"Aprobado","Reprobado"))</f>
        <v xml:space="preserve"> </v>
      </c>
      <c r="P16" s="16" t="str">
        <f>IF(Hoja1!O4+Hoja1!O5&lt;7," ",IF(Hoja1!O4=7,"Aprobado","Reprobado"))</f>
        <v xml:space="preserve"> </v>
      </c>
      <c r="Q16" s="16" t="str">
        <f>IF(Hoja1!P4+Hoja1!P5&lt;7," ",IF(Hoja1!P4=7,"Aprobado","Reprobado"))</f>
        <v xml:space="preserve"> 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2:2" ht="14.4" x14ac:dyDescent="0.3">
      <c r="B17" s="17" t="s">
        <v>20</v>
      </c>
    </row>
    <row r="21" spans="2:2" ht="15.75" customHeight="1" x14ac:dyDescent="0.3"/>
    <row r="22" spans="2:2" ht="15.75" customHeight="1" x14ac:dyDescent="0.3"/>
    <row r="23" spans="2:2" ht="15.75" customHeight="1" x14ac:dyDescent="0.3"/>
    <row r="24" spans="2:2" ht="15.75" customHeight="1" x14ac:dyDescent="0.3"/>
    <row r="25" spans="2:2" ht="15.75" customHeight="1" x14ac:dyDescent="0.3"/>
    <row r="26" spans="2:2" ht="15.75" customHeight="1" x14ac:dyDescent="0.3"/>
    <row r="27" spans="2:2" ht="15.75" customHeight="1" x14ac:dyDescent="0.3"/>
    <row r="28" spans="2:2" ht="15.75" customHeight="1" x14ac:dyDescent="0.3"/>
    <row r="29" spans="2:2" ht="15.75" customHeight="1" x14ac:dyDescent="0.3"/>
    <row r="30" spans="2:2" ht="15.75" customHeight="1" x14ac:dyDescent="0.3"/>
    <row r="31" spans="2:2" ht="15.75" customHeight="1" x14ac:dyDescent="0.3"/>
    <row r="32" spans="2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2:E2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I1000"/>
  <sheetViews>
    <sheetView topLeftCell="A16" workbookViewId="0">
      <selection activeCell="D10" sqref="D10"/>
    </sheetView>
  </sheetViews>
  <sheetFormatPr baseColWidth="10" defaultColWidth="14.44140625" defaultRowHeight="15" customHeight="1" x14ac:dyDescent="0.3"/>
  <cols>
    <col min="1" max="1" width="10.6640625" customWidth="1"/>
    <col min="2" max="2" width="43.5546875" customWidth="1"/>
    <col min="3" max="5" width="17.88671875" customWidth="1"/>
    <col min="6" max="6" width="16.88671875" customWidth="1"/>
    <col min="7" max="7" width="17.44140625" customWidth="1"/>
    <col min="8" max="9" width="17" customWidth="1"/>
    <col min="10" max="14" width="16.88671875" customWidth="1"/>
    <col min="15" max="15" width="18.88671875" customWidth="1"/>
    <col min="16" max="16" width="17.44140625" customWidth="1"/>
    <col min="17" max="17" width="17" customWidth="1"/>
    <col min="18" max="18" width="18.109375" customWidth="1"/>
    <col min="19" max="19" width="19.44140625" customWidth="1"/>
    <col min="20" max="20" width="22.109375" customWidth="1"/>
    <col min="21" max="21" width="20" customWidth="1"/>
    <col min="22" max="22" width="20.109375" customWidth="1"/>
    <col min="23" max="23" width="21.109375" customWidth="1"/>
    <col min="24" max="24" width="22.6640625" customWidth="1"/>
    <col min="25" max="25" width="16.88671875" customWidth="1"/>
    <col min="26" max="26" width="20.5546875" customWidth="1"/>
    <col min="27" max="27" width="20.88671875" customWidth="1"/>
    <col min="28" max="28" width="16.88671875" customWidth="1"/>
    <col min="29" max="29" width="20.6640625" customWidth="1"/>
    <col min="30" max="31" width="21.5546875" customWidth="1"/>
    <col min="32" max="32" width="18.109375" customWidth="1"/>
    <col min="33" max="33" width="18.6640625" customWidth="1"/>
    <col min="34" max="34" width="16" customWidth="1"/>
    <col min="35" max="35" width="14.33203125" customWidth="1"/>
  </cols>
  <sheetData>
    <row r="2" spans="2:35" ht="24" customHeight="1" x14ac:dyDescent="0.3">
      <c r="B2" s="23" t="s">
        <v>16</v>
      </c>
      <c r="C2" s="23"/>
      <c r="D2" s="23"/>
      <c r="E2" s="23"/>
    </row>
    <row r="3" spans="2:35" ht="14.4" x14ac:dyDescent="0.3">
      <c r="B3" s="1" t="s">
        <v>17</v>
      </c>
      <c r="C3" s="1"/>
      <c r="D3" s="1"/>
      <c r="E3" s="1"/>
    </row>
    <row r="4" spans="2:35" thickBot="1" x14ac:dyDescent="0.35">
      <c r="B4" s="1"/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</row>
    <row r="5" spans="2:35" ht="22.5" customHeight="1" thickBot="1" x14ac:dyDescent="0.35">
      <c r="B5" s="2" t="s">
        <v>0</v>
      </c>
      <c r="C5" s="3" t="s">
        <v>18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  <c r="AA5" s="5"/>
      <c r="AB5" s="3"/>
      <c r="AC5" s="6"/>
      <c r="AD5" s="6"/>
      <c r="AE5" s="4"/>
      <c r="AF5" s="6"/>
      <c r="AG5" s="4"/>
      <c r="AH5" s="3"/>
      <c r="AI5" s="4"/>
    </row>
    <row r="6" spans="2:35" ht="20.25" customHeight="1" thickBot="1" x14ac:dyDescent="0.35">
      <c r="B6" s="2" t="s">
        <v>19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2:35" ht="20.25" customHeight="1" thickBot="1" x14ac:dyDescent="0.35">
      <c r="B7" s="2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2:35" ht="15.6" x14ac:dyDescent="0.3">
      <c r="B8" s="28" t="s">
        <v>2</v>
      </c>
      <c r="C8" s="8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2:35" ht="27" customHeight="1" x14ac:dyDescent="0.3">
      <c r="B9" s="30" t="s">
        <v>21</v>
      </c>
      <c r="C9" s="26"/>
      <c r="D9" s="10"/>
      <c r="E9" s="10"/>
      <c r="F9" s="10"/>
      <c r="G9" s="10"/>
      <c r="H9" s="10"/>
      <c r="I9" s="10"/>
      <c r="J9" s="10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2"/>
    </row>
    <row r="10" spans="2:35" ht="27" customHeight="1" x14ac:dyDescent="0.3">
      <c r="B10" s="30" t="s">
        <v>22</v>
      </c>
      <c r="C10" s="26"/>
      <c r="D10" s="10"/>
      <c r="E10" s="10"/>
      <c r="F10" s="10"/>
      <c r="G10" s="10"/>
      <c r="H10" s="10"/>
      <c r="I10" s="10"/>
      <c r="J10" s="10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2"/>
    </row>
    <row r="11" spans="2:35" ht="32.25" customHeight="1" x14ac:dyDescent="0.3">
      <c r="B11" s="30" t="s">
        <v>23</v>
      </c>
      <c r="C11" s="26"/>
      <c r="D11" s="10"/>
      <c r="E11" s="10"/>
      <c r="F11" s="10"/>
      <c r="G11" s="10"/>
      <c r="H11" s="10"/>
      <c r="I11" s="10"/>
      <c r="J11" s="10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2"/>
    </row>
    <row r="12" spans="2:35" ht="31.5" customHeight="1" x14ac:dyDescent="0.3">
      <c r="B12" s="30" t="s">
        <v>24</v>
      </c>
      <c r="C12" s="26"/>
      <c r="D12" s="10"/>
      <c r="E12" s="10"/>
      <c r="F12" s="10"/>
      <c r="G12" s="10"/>
      <c r="H12" s="10"/>
      <c r="I12" s="10"/>
      <c r="J12" s="10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2"/>
    </row>
    <row r="13" spans="2:35" ht="49.8" customHeight="1" x14ac:dyDescent="0.3">
      <c r="B13" s="30" t="s">
        <v>25</v>
      </c>
      <c r="C13" s="26"/>
      <c r="D13" s="10"/>
      <c r="E13" s="10"/>
      <c r="F13" s="10"/>
      <c r="G13" s="10"/>
      <c r="H13" s="10"/>
      <c r="I13" s="10"/>
      <c r="J13" s="10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2"/>
    </row>
    <row r="14" spans="2:35" ht="50.4" customHeight="1" x14ac:dyDescent="0.3">
      <c r="B14" s="30" t="s">
        <v>26</v>
      </c>
      <c r="C14" s="26"/>
      <c r="D14" s="10"/>
      <c r="E14" s="10"/>
      <c r="F14" s="10"/>
      <c r="G14" s="10"/>
      <c r="H14" s="10"/>
      <c r="I14" s="10"/>
      <c r="J14" s="10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2"/>
    </row>
    <row r="15" spans="2:35" ht="34.799999999999997" customHeight="1" x14ac:dyDescent="0.3">
      <c r="B15" s="30" t="s">
        <v>27</v>
      </c>
      <c r="C15" s="27"/>
      <c r="D15" s="10"/>
      <c r="E15" s="10"/>
      <c r="F15" s="10"/>
      <c r="G15" s="10"/>
      <c r="H15" s="10"/>
      <c r="I15" s="10"/>
      <c r="J15" s="10"/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3"/>
      <c r="AD15" s="13"/>
      <c r="AE15" s="13"/>
      <c r="AF15" s="13"/>
      <c r="AG15" s="13"/>
      <c r="AH15" s="13"/>
      <c r="AI15" s="14"/>
    </row>
    <row r="16" spans="2:35" ht="21" customHeight="1" x14ac:dyDescent="0.3">
      <c r="B16" s="29" t="s">
        <v>10</v>
      </c>
      <c r="C16" s="25" t="str">
        <f>IF(Hoja1!B4+Hoja1!B5&lt;7," ",IF(Hoja1!B4=7,"Aprobado","Reprobado"))</f>
        <v xml:space="preserve"> </v>
      </c>
      <c r="D16" s="24" t="str">
        <f>IF(Hoja1!C4+Hoja1!C5&lt;7," ",IF(Hoja1!C4=7,"Aprobado","Reprobado"))</f>
        <v xml:space="preserve"> </v>
      </c>
      <c r="E16" s="15" t="str">
        <f>IF(Hoja1!D4+Hoja1!D5&lt;7," ",IF(Hoja1!D4=7,"Aprobado","Reprobado"))</f>
        <v xml:space="preserve"> </v>
      </c>
      <c r="F16" s="15" t="str">
        <f>IF(Hoja1!E4+Hoja1!E5&lt;7," ",IF(Hoja1!E4=7,"Aprobado","Reprobado"))</f>
        <v xml:space="preserve"> </v>
      </c>
      <c r="G16" s="15" t="str">
        <f>IF(Hoja1!F4+Hoja1!F5&lt;7," ",IF(Hoja1!F4=7,"Aprobado","Reprobado"))</f>
        <v xml:space="preserve"> </v>
      </c>
      <c r="H16" s="16" t="str">
        <f>IF(Hoja1!G4+Hoja1!G5&lt;7," ",IF(Hoja1!G4=7,"Aprobado","Reprobado"))</f>
        <v xml:space="preserve"> </v>
      </c>
      <c r="I16" s="16" t="str">
        <f>IF(Hoja1!H4+Hoja1!H5&lt;7," ",IF(Hoja1!H4=7,"Aprobado","Reprobado"))</f>
        <v xml:space="preserve"> </v>
      </c>
      <c r="J16" s="16" t="str">
        <f>IF(Hoja1!I4+Hoja1!I5&lt;7," ",IF(Hoja1!I4=7,"Aprobado","Reprobado"))</f>
        <v xml:space="preserve"> </v>
      </c>
      <c r="K16" s="16" t="str">
        <f>IF(Hoja1!J4+Hoja1!J5&lt;7," ",IF(Hoja1!J4=7,"Aprobado","Reprobado"))</f>
        <v xml:space="preserve"> </v>
      </c>
      <c r="L16" s="16" t="str">
        <f>IF(Hoja1!K4+Hoja1!K5&lt;7," ",IF(Hoja1!K4=7,"Aprobado","Reprobado"))</f>
        <v xml:space="preserve"> </v>
      </c>
      <c r="M16" s="16" t="str">
        <f>IF(Hoja1!L4+Hoja1!L5&lt;7," ",IF(Hoja1!L4=7,"Aprobado","Reprobado"))</f>
        <v xml:space="preserve"> </v>
      </c>
      <c r="N16" s="16" t="str">
        <f>IF(Hoja1!M4+Hoja1!M5&lt;7," ",IF(Hoja1!M4=7,"Aprobado","Reprobado"))</f>
        <v xml:space="preserve"> </v>
      </c>
      <c r="O16" s="16" t="str">
        <f>IF(Hoja1!N4+Hoja1!N5&lt;7," ",IF(Hoja1!N4=7,"Aprobado","Reprobado"))</f>
        <v xml:space="preserve"> </v>
      </c>
      <c r="P16" s="16" t="str">
        <f>IF(Hoja1!O4+Hoja1!O5&lt;7," ",IF(Hoja1!O4=7,"Aprobado","Reprobado"))</f>
        <v xml:space="preserve"> </v>
      </c>
      <c r="Q16" s="16" t="str">
        <f>IF(Hoja1!P4+Hoja1!P5&lt;7," ",IF(Hoja1!P4=7,"Aprobado","Reprobado"))</f>
        <v xml:space="preserve"> 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2:2" ht="14.4" x14ac:dyDescent="0.3">
      <c r="B17" s="17" t="s">
        <v>20</v>
      </c>
    </row>
    <row r="21" spans="2:2" ht="15.75" customHeight="1" x14ac:dyDescent="0.3"/>
    <row r="22" spans="2:2" ht="15.75" customHeight="1" x14ac:dyDescent="0.3"/>
    <row r="23" spans="2:2" ht="15.75" customHeight="1" x14ac:dyDescent="0.3"/>
    <row r="24" spans="2:2" ht="15.75" customHeight="1" x14ac:dyDescent="0.3"/>
    <row r="25" spans="2:2" ht="15.75" customHeight="1" x14ac:dyDescent="0.3"/>
    <row r="26" spans="2:2" ht="15.75" customHeight="1" x14ac:dyDescent="0.3"/>
    <row r="27" spans="2:2" ht="15.75" customHeight="1" x14ac:dyDescent="0.3"/>
    <row r="28" spans="2:2" ht="15.75" customHeight="1" x14ac:dyDescent="0.3"/>
    <row r="29" spans="2:2" ht="15.75" customHeight="1" x14ac:dyDescent="0.3"/>
    <row r="30" spans="2:2" ht="15.75" customHeight="1" x14ac:dyDescent="0.3"/>
    <row r="31" spans="2:2" ht="15.75" customHeight="1" x14ac:dyDescent="0.3"/>
    <row r="32" spans="2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2:E2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L1000"/>
  <sheetViews>
    <sheetView workbookViewId="0"/>
  </sheetViews>
  <sheetFormatPr baseColWidth="10" defaultColWidth="14.44140625" defaultRowHeight="15" customHeight="1" x14ac:dyDescent="0.3"/>
  <cols>
    <col min="1" max="1" width="25" customWidth="1"/>
    <col min="2" max="2" width="12.6640625" customWidth="1"/>
    <col min="3" max="3" width="13.6640625" customWidth="1"/>
    <col min="4" max="38" width="10.6640625" customWidth="1"/>
  </cols>
  <sheetData>
    <row r="4" spans="1:38" ht="14.4" x14ac:dyDescent="0.3">
      <c r="B4" s="17">
        <f>COUNTIF('Fichas clinicas SOME 1 SEM'!C9:C15,"si")</f>
        <v>0</v>
      </c>
      <c r="C4" s="17">
        <f>COUNTIF('Fichas clinicas SOME 1 SEM'!D9:D15,"si")</f>
        <v>0</v>
      </c>
      <c r="D4" s="17">
        <f>COUNTIF('Fichas clinicas SOME 1 SEM'!E9:E15,"si")</f>
        <v>0</v>
      </c>
      <c r="E4" s="17">
        <f>COUNTIF('Fichas clinicas SOME 1 SEM'!F9:F15,"si")</f>
        <v>0</v>
      </c>
      <c r="F4" s="17">
        <f>COUNTIF('Fichas clinicas SOME 1 SEM'!G9:G15,"si")</f>
        <v>0</v>
      </c>
      <c r="G4" s="17">
        <f>COUNTIF('Fichas clinicas SOME 1 SEM'!H9:H15,"si")</f>
        <v>0</v>
      </c>
      <c r="H4" s="17">
        <f>COUNTIF('Fichas clinicas SOME 1 SEM'!I9:I15,"si")</f>
        <v>0</v>
      </c>
      <c r="I4" s="17">
        <f>COUNTIF('Fichas clinicas SOME 1 SEM'!J9:J15,"si")</f>
        <v>0</v>
      </c>
      <c r="J4" s="17">
        <f>COUNTIF('Fichas clinicas SOME 1 SEM'!K9:K15,"si")</f>
        <v>0</v>
      </c>
      <c r="K4" s="17">
        <f>COUNTIF('Fichas clinicas SOME 1 SEM'!L9:L15,"si")</f>
        <v>0</v>
      </c>
      <c r="L4" s="17">
        <f>COUNTIF('Fichas clinicas SOME 1 SEM'!M9:M15,"si")</f>
        <v>0</v>
      </c>
      <c r="M4" s="17">
        <f>COUNTIF('Fichas clinicas SOME 1 SEM'!N9:N15,"si")</f>
        <v>0</v>
      </c>
      <c r="N4" s="17">
        <f>COUNTIF('Fichas clinicas SOME 1 SEM'!O9:O15,"si")</f>
        <v>0</v>
      </c>
      <c r="O4" s="17">
        <f>COUNTIF('Fichas clinicas SOME 1 SEM'!P9:P15,"si")</f>
        <v>0</v>
      </c>
      <c r="P4" s="17">
        <f>COUNTIF('Fichas clinicas SOME 1 SEM'!Q9:Q15,"si")</f>
        <v>0</v>
      </c>
      <c r="Q4" s="17">
        <f>COUNTIF('Fichas clinicas SOME 1 SEM'!R9:R15,"si")</f>
        <v>0</v>
      </c>
      <c r="R4" s="17">
        <f>COUNTIF('Fichas clinicas SOME 1 SEM'!S9:S15,"si")</f>
        <v>0</v>
      </c>
      <c r="S4" s="17">
        <f>COUNTIF('Fichas clinicas SOME 1 SEM'!T9:T15,"si")</f>
        <v>0</v>
      </c>
      <c r="T4" s="17">
        <f>COUNTIF('Fichas clinicas SOME 1 SEM'!U9:U15,"si")</f>
        <v>0</v>
      </c>
      <c r="U4" s="17">
        <f>COUNTIF('Fichas clinicas SOME 1 SEM'!V9:V15,"si")</f>
        <v>0</v>
      </c>
      <c r="V4" s="17">
        <f>COUNTIF('Fichas clinicas SOME 1 SEM'!W9:W15,"si")</f>
        <v>0</v>
      </c>
      <c r="W4" s="17">
        <f>COUNTIF('Fichas clinicas SOME 1 SEM'!X9:X15,"si")</f>
        <v>0</v>
      </c>
      <c r="X4" s="17">
        <f>COUNTIF('Fichas clinicas SOME 1 SEM'!Y9:Y15,"si")</f>
        <v>0</v>
      </c>
      <c r="Y4" s="17">
        <f>COUNTIF('Fichas clinicas SOME 1 SEM'!Z9:Z15,"si")</f>
        <v>0</v>
      </c>
      <c r="Z4" s="17">
        <f>COUNTIF('Fichas clinicas SOME 1 SEM'!AA9:AA15,"si")</f>
        <v>0</v>
      </c>
      <c r="AA4" s="17">
        <f>COUNTIF('Fichas clinicas SOME 1 SEM'!AB9:AB15,"si")</f>
        <v>0</v>
      </c>
      <c r="AB4" s="17">
        <f>COUNTIF('Fichas clinicas SOME 1 SEM'!AC9:AC15,"si")</f>
        <v>0</v>
      </c>
      <c r="AC4" s="17">
        <f>COUNTIF('Fichas clinicas SOME 1 SEM'!AD9:AD15,"si")</f>
        <v>0</v>
      </c>
      <c r="AD4" s="17">
        <f>COUNTIF('Fichas clinicas SOME 1 SEM'!AE9:AE15,"si")</f>
        <v>0</v>
      </c>
      <c r="AE4" s="17">
        <f>COUNTIF('Fichas clinicas SOME 1 SEM'!AF9:AF15,"si")</f>
        <v>0</v>
      </c>
      <c r="AF4" s="17">
        <f>COUNTIF('Fichas clinicas SOME 1 SEM'!AG9:AG15,"si")</f>
        <v>0</v>
      </c>
      <c r="AG4" s="17">
        <f>COUNTIF('Fichas clinicas SOME 1 SEM'!AH9:AH15,"si")</f>
        <v>0</v>
      </c>
      <c r="AH4" s="17">
        <f>COUNTIF('Fichas clinicas SOME 1 SEM'!AI9:AI15,"si")</f>
        <v>0</v>
      </c>
      <c r="AI4" s="17">
        <f>COUNTIF('Fichas clinicas SOME 1 SEM'!AJ9:AJ14,"si")</f>
        <v>0</v>
      </c>
      <c r="AJ4" s="17">
        <f>COUNTIF('Fichas clinicas SOME 1 SEM'!AK9:AK14,"si")</f>
        <v>0</v>
      </c>
      <c r="AK4" s="17">
        <f>COUNTIF('Fichas clinicas SOME 1 SEM'!AL9:AL14,"si")</f>
        <v>0</v>
      </c>
      <c r="AL4" s="17">
        <f>COUNTIF('Fichas clinicas SOME 1 SEM'!AM9:AM14,"si")</f>
        <v>0</v>
      </c>
    </row>
    <row r="5" spans="1:38" ht="14.4" x14ac:dyDescent="0.3">
      <c r="B5" s="17">
        <f>COUNTIF('Fichas clinicas SOME 1 SEM'!C9:C15,"no")</f>
        <v>0</v>
      </c>
      <c r="C5" s="17">
        <f>COUNTIF('Fichas clinicas SOME 1 SEM'!D9:D15,"no")</f>
        <v>0</v>
      </c>
      <c r="D5" s="17">
        <f>COUNTIF('Fichas clinicas SOME 1 SEM'!E9:E15,"no")</f>
        <v>0</v>
      </c>
      <c r="E5" s="17">
        <f>COUNTIF('Fichas clinicas SOME 1 SEM'!F9:F15,"no")</f>
        <v>0</v>
      </c>
      <c r="F5" s="17">
        <f>COUNTIF('Fichas clinicas SOME 1 SEM'!G9:G15,"no")</f>
        <v>0</v>
      </c>
      <c r="G5" s="17">
        <f>COUNTIF('Fichas clinicas SOME 1 SEM'!H9:H15,"no")</f>
        <v>0</v>
      </c>
      <c r="H5" s="17">
        <f>COUNTIF('Fichas clinicas SOME 1 SEM'!I9:I15,"no")</f>
        <v>0</v>
      </c>
      <c r="I5" s="17">
        <f>COUNTIF('Fichas clinicas SOME 1 SEM'!J9:J15,"no")</f>
        <v>0</v>
      </c>
      <c r="J5" s="17">
        <f>COUNTIF('Fichas clinicas SOME 1 SEM'!K9:K15,"no")</f>
        <v>0</v>
      </c>
      <c r="K5" s="17">
        <f>COUNTIF('Fichas clinicas SOME 1 SEM'!L9:L15,"no")</f>
        <v>0</v>
      </c>
      <c r="L5" s="17">
        <f>COUNTIF('Fichas clinicas SOME 1 SEM'!M9:M15,"no")</f>
        <v>0</v>
      </c>
      <c r="M5" s="17">
        <f>COUNTIF('Fichas clinicas SOME 1 SEM'!N9:N15,"no")</f>
        <v>0</v>
      </c>
      <c r="N5" s="17">
        <f>COUNTIF('Fichas clinicas SOME 1 SEM'!O9:O15,"no")</f>
        <v>0</v>
      </c>
      <c r="O5" s="17">
        <f>COUNTIF('Fichas clinicas SOME 1 SEM'!P9:P15,"no")</f>
        <v>0</v>
      </c>
      <c r="P5" s="17">
        <f>COUNTIF('Fichas clinicas SOME 1 SEM'!Q9:Q15,"no")</f>
        <v>0</v>
      </c>
      <c r="Q5" s="17">
        <f>COUNTIF('Fichas clinicas SOME 1 SEM'!R9:R15,"no")</f>
        <v>0</v>
      </c>
      <c r="R5" s="17">
        <f>COUNTIF('Fichas clinicas SOME 1 SEM'!S9:S15,"no")</f>
        <v>0</v>
      </c>
      <c r="S5" s="17">
        <f>COUNTIF('Fichas clinicas SOME 1 SEM'!T9:T15,"no")</f>
        <v>0</v>
      </c>
      <c r="T5" s="17">
        <f>COUNTIF('Fichas clinicas SOME 1 SEM'!U9:U15,"no")</f>
        <v>0</v>
      </c>
      <c r="U5" s="17">
        <f>COUNTIF('Fichas clinicas SOME 1 SEM'!V9:V15,"no")</f>
        <v>0</v>
      </c>
      <c r="V5" s="17">
        <f>COUNTIF('Fichas clinicas SOME 1 SEM'!W9:W15,"no")</f>
        <v>0</v>
      </c>
      <c r="W5" s="17">
        <f>COUNTIF('Fichas clinicas SOME 1 SEM'!X9:X15,"no")</f>
        <v>0</v>
      </c>
      <c r="X5" s="17">
        <f>COUNTIF('Fichas clinicas SOME 1 SEM'!Y9:Y15,"no")</f>
        <v>0</v>
      </c>
      <c r="Y5" s="17">
        <f>COUNTIF('Fichas clinicas SOME 1 SEM'!Z9:Z15,"no")</f>
        <v>0</v>
      </c>
      <c r="Z5" s="17">
        <f>COUNTIF('Fichas clinicas SOME 1 SEM'!AA9:AA15,"no")</f>
        <v>0</v>
      </c>
      <c r="AA5" s="17">
        <f>COUNTIF('Fichas clinicas SOME 1 SEM'!AB9:AB15,"no")</f>
        <v>0</v>
      </c>
      <c r="AB5" s="17">
        <f>COUNTIF('Fichas clinicas SOME 1 SEM'!AC9:AC15,"no")</f>
        <v>0</v>
      </c>
      <c r="AC5" s="17">
        <f>COUNTIF('Fichas clinicas SOME 1 SEM'!AD9:AD15,"no")</f>
        <v>0</v>
      </c>
      <c r="AD5" s="17">
        <f>COUNTIF('Fichas clinicas SOME 1 SEM'!AE9:AE15,"no")</f>
        <v>0</v>
      </c>
      <c r="AE5" s="17">
        <f>COUNTIF('Fichas clinicas SOME 1 SEM'!AF9:AF15,"no")</f>
        <v>0</v>
      </c>
      <c r="AF5" s="17">
        <f>COUNTIF('Fichas clinicas SOME 1 SEM'!AG9:AG15,"no")</f>
        <v>0</v>
      </c>
      <c r="AG5" s="17">
        <f>COUNTIF('Fichas clinicas SOME 1 SEM'!AH9:AH15,"no")</f>
        <v>0</v>
      </c>
      <c r="AH5" s="17">
        <f>COUNTIF('Fichas clinicas SOME 1 SEM'!AI9:AI15,"no")</f>
        <v>0</v>
      </c>
      <c r="AI5" s="17">
        <f>COUNTIF('Fichas clinicas SOME 1 SEM'!AJ9:AJ14,"no")</f>
        <v>0</v>
      </c>
      <c r="AJ5" s="17">
        <f>COUNTIF('Fichas clinicas SOME 1 SEM'!AK9:AK14,"no")</f>
        <v>0</v>
      </c>
      <c r="AK5" s="17">
        <f>COUNTIF('Fichas clinicas SOME 1 SEM'!AL9:AL14,"no")</f>
        <v>0</v>
      </c>
      <c r="AL5" s="17">
        <f>COUNTIF('Fichas clinicas SOME 1 SEM'!AM9:AM14,"no")</f>
        <v>0</v>
      </c>
    </row>
    <row r="7" spans="1:38" ht="14.4" x14ac:dyDescent="0.3">
      <c r="B7" s="17" t="s">
        <v>11</v>
      </c>
      <c r="C7" s="17" t="s">
        <v>12</v>
      </c>
    </row>
    <row r="8" spans="1:38" ht="14.4" x14ac:dyDescent="0.3">
      <c r="B8" s="17">
        <f>COUNTIF('Fichas clinicas SOME 1 SEM'!C16:AI16,"Aprobado")</f>
        <v>0</v>
      </c>
      <c r="C8" s="17">
        <f>COUNTIF('Fichas clinicas SOME 1 SEM'!C16:AI16,"Reprobado")</f>
        <v>0</v>
      </c>
    </row>
    <row r="15" spans="1:38" ht="14.4" x14ac:dyDescent="0.3">
      <c r="A15" s="18" t="s">
        <v>13</v>
      </c>
      <c r="B15" s="17" t="s">
        <v>14</v>
      </c>
      <c r="C15" s="17" t="s">
        <v>15</v>
      </c>
    </row>
    <row r="16" spans="1:38" ht="28.8" x14ac:dyDescent="0.3">
      <c r="A16" s="19" t="s">
        <v>3</v>
      </c>
      <c r="B16" s="20">
        <f>COUNTIF('Fichas clinicas SOME 1 SEM'!C9:AI9,"si")</f>
        <v>0</v>
      </c>
      <c r="C16" s="20">
        <f>COUNTIF('Fichas clinicas SOME 1 SEM'!C9:AI9,"no")</f>
        <v>0</v>
      </c>
    </row>
    <row r="17" spans="1:3" ht="28.8" x14ac:dyDescent="0.3">
      <c r="A17" s="19" t="s">
        <v>4</v>
      </c>
      <c r="B17" s="20">
        <f>COUNTIF('Fichas clinicas SOME 1 SEM'!C10:AI10,"si")</f>
        <v>0</v>
      </c>
      <c r="C17" s="17">
        <f>COUNTIF('Fichas clinicas SOME 1 SEM'!C10:AI10,"no")</f>
        <v>0</v>
      </c>
    </row>
    <row r="18" spans="1:3" ht="28.8" x14ac:dyDescent="0.3">
      <c r="A18" s="19" t="s">
        <v>5</v>
      </c>
      <c r="B18" s="20">
        <f>COUNTIF('Fichas clinicas SOME 1 SEM'!C11:AI11,"si")</f>
        <v>0</v>
      </c>
      <c r="C18" s="17">
        <f>COUNTIF('Fichas clinicas SOME 1 SEM'!C11:AI11,"no")</f>
        <v>0</v>
      </c>
    </row>
    <row r="19" spans="1:3" ht="43.2" x14ac:dyDescent="0.3">
      <c r="A19" s="19" t="s">
        <v>6</v>
      </c>
      <c r="B19" s="20">
        <f>COUNTIF('Fichas clinicas SOME 1 SEM'!C12:AI12,"si")</f>
        <v>0</v>
      </c>
      <c r="C19" s="17">
        <f>COUNTIF('Fichas clinicas SOME 1 SEM'!C12:AI12,"no")</f>
        <v>0</v>
      </c>
    </row>
    <row r="20" spans="1:3" ht="43.2" x14ac:dyDescent="0.3">
      <c r="A20" s="19" t="s">
        <v>7</v>
      </c>
      <c r="B20" s="20">
        <f>COUNTIF('Fichas clinicas SOME 1 SEM'!C13:AI13,"si")</f>
        <v>0</v>
      </c>
      <c r="C20" s="17">
        <f>COUNTIF('Fichas clinicas SOME 1 SEM'!C13:AI13,"no")</f>
        <v>0</v>
      </c>
    </row>
    <row r="21" spans="1:3" ht="15.75" customHeight="1" x14ac:dyDescent="0.3">
      <c r="A21" s="19" t="s">
        <v>8</v>
      </c>
      <c r="B21" s="20">
        <f>COUNTIF('Fichas clinicas SOME 1 SEM'!C14:AI14,"si")</f>
        <v>0</v>
      </c>
      <c r="C21" s="17">
        <f>COUNTIF('Fichas clinicas SOME 1 SEM'!C14:AI14,"no")</f>
        <v>0</v>
      </c>
    </row>
    <row r="22" spans="1:3" ht="15.75" customHeight="1" x14ac:dyDescent="0.3">
      <c r="A22" s="19" t="s">
        <v>9</v>
      </c>
      <c r="B22" s="21">
        <f>COUNTIF('Fichas clinicas SOME 1 SEM'!C15:AI15,"si")</f>
        <v>0</v>
      </c>
      <c r="C22" s="17">
        <f>COUNTIF('Fichas clinicas SOME 1 SEM'!C15:AI15,"no")</f>
        <v>0</v>
      </c>
    </row>
    <row r="23" spans="1:3" ht="15.75" customHeight="1" x14ac:dyDescent="0.3">
      <c r="B23" s="22"/>
    </row>
    <row r="24" spans="1:3" ht="15.75" customHeight="1" x14ac:dyDescent="0.3">
      <c r="B24" s="22"/>
    </row>
    <row r="25" spans="1:3" ht="15.75" customHeight="1" x14ac:dyDescent="0.3">
      <c r="B25" s="22"/>
    </row>
    <row r="26" spans="1:3" ht="15.75" customHeight="1" x14ac:dyDescent="0.3">
      <c r="B26" s="22"/>
    </row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Fichas clinicas SOME 1 SEM</vt:lpstr>
      <vt:lpstr>Fichas clinicas SOME 2 SEM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S.Generales</dc:creator>
  <cp:lastModifiedBy>Cristian Cardenas Espinoza</cp:lastModifiedBy>
  <dcterms:created xsi:type="dcterms:W3CDTF">2021-09-07T17:52:53Z</dcterms:created>
  <dcterms:modified xsi:type="dcterms:W3CDTF">2025-12-26T17:58:45Z</dcterms:modified>
</cp:coreProperties>
</file>