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UNCIONARIO\Desktop\protocolos a revision\TOMA PAP GCL 1.8 Y APA 1.2\"/>
    </mc:Choice>
  </mc:AlternateContent>
  <xr:revisionPtr revIDLastSave="0" documentId="13_ncr:1_{4072B5BC-906A-4A09-9689-B14FD1A2E9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yo a julio 26" sheetId="1" r:id="rId1"/>
    <sheet name="ago a oct 26" sheetId="3" r:id="rId2"/>
    <sheet name="nov 26 a ene 27" sheetId="4" r:id="rId3"/>
    <sheet name="febr a abril 27" sheetId="5" r:id="rId4"/>
    <sheet name="Hoja1" sheetId="2" state="hidden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22" i="5" l="1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C5" i="2"/>
  <c r="D5" i="2"/>
  <c r="E5" i="2"/>
  <c r="C4" i="2"/>
  <c r="D22" i="4" s="1"/>
  <c r="D4" i="2"/>
  <c r="E22" i="3" s="1"/>
  <c r="E4" i="2"/>
  <c r="F22" i="5" s="1"/>
  <c r="B5" i="2"/>
  <c r="B4" i="2"/>
  <c r="C22" i="5" s="1"/>
  <c r="F22" i="3" l="1"/>
  <c r="E22" i="4"/>
  <c r="D22" i="5"/>
  <c r="F22" i="4"/>
  <c r="E22" i="5"/>
  <c r="C22" i="3"/>
  <c r="D22" i="3"/>
  <c r="C22" i="4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E24" i="1"/>
  <c r="F24" i="1"/>
  <c r="F4" i="2"/>
  <c r="G22" i="5" l="1"/>
  <c r="G22" i="4"/>
  <c r="G22" i="3"/>
  <c r="G24" i="1"/>
  <c r="D24" i="1"/>
  <c r="C16" i="2"/>
  <c r="C17" i="2"/>
  <c r="C18" i="2"/>
  <c r="C19" i="2"/>
  <c r="C20" i="2"/>
  <c r="C21" i="2"/>
  <c r="C22" i="2"/>
  <c r="B16" i="2"/>
  <c r="B17" i="2"/>
  <c r="B18" i="2"/>
  <c r="B19" i="2"/>
  <c r="B20" i="2"/>
  <c r="B21" i="2"/>
  <c r="B22" i="2"/>
  <c r="AI5" i="2" l="1"/>
  <c r="AJ5" i="2"/>
  <c r="AK5" i="2"/>
  <c r="AL5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B22" i="4" l="1"/>
  <c r="AB22" i="3"/>
  <c r="AB24" i="1"/>
  <c r="AB22" i="5"/>
  <c r="AA22" i="5"/>
  <c r="AA22" i="4"/>
  <c r="AA22" i="3"/>
  <c r="AA24" i="1"/>
  <c r="Z22" i="5"/>
  <c r="Z22" i="4"/>
  <c r="Z22" i="3"/>
  <c r="Z24" i="1"/>
  <c r="Y22" i="5"/>
  <c r="Y22" i="4"/>
  <c r="Y22" i="3"/>
  <c r="Y24" i="1"/>
  <c r="I22" i="5"/>
  <c r="I22" i="4"/>
  <c r="I22" i="3"/>
  <c r="I24" i="1"/>
  <c r="H22" i="5"/>
  <c r="H22" i="4"/>
  <c r="H22" i="3"/>
  <c r="H24" i="1"/>
  <c r="AJ22" i="4"/>
  <c r="AJ22" i="3"/>
  <c r="AJ24" i="1"/>
  <c r="AJ22" i="5"/>
  <c r="K22" i="5"/>
  <c r="K22" i="4"/>
  <c r="K22" i="3"/>
  <c r="K24" i="1"/>
  <c r="R22" i="5"/>
  <c r="R22" i="4"/>
  <c r="R22" i="3"/>
  <c r="R24" i="1"/>
  <c r="Q22" i="5"/>
  <c r="Q22" i="4"/>
  <c r="Q22" i="3"/>
  <c r="Q24" i="1"/>
  <c r="AF22" i="5"/>
  <c r="AF22" i="4"/>
  <c r="AF22" i="3"/>
  <c r="AF24" i="1"/>
  <c r="P22" i="5"/>
  <c r="P22" i="4"/>
  <c r="P22" i="3"/>
  <c r="P24" i="1"/>
  <c r="W22" i="5"/>
  <c r="W22" i="4"/>
  <c r="W22" i="3"/>
  <c r="W24" i="1"/>
  <c r="O22" i="5"/>
  <c r="O22" i="4"/>
  <c r="O22" i="3"/>
  <c r="O24" i="1"/>
  <c r="AI22" i="5"/>
  <c r="AI22" i="4"/>
  <c r="AI22" i="3"/>
  <c r="AI24" i="1"/>
  <c r="J22" i="5"/>
  <c r="J22" i="4"/>
  <c r="J22" i="3"/>
  <c r="J24" i="1"/>
  <c r="T22" i="4"/>
  <c r="T22" i="3"/>
  <c r="T24" i="1"/>
  <c r="T22" i="5"/>
  <c r="S22" i="5"/>
  <c r="S22" i="4"/>
  <c r="S22" i="3"/>
  <c r="S24" i="1"/>
  <c r="AH22" i="5"/>
  <c r="AH22" i="4"/>
  <c r="AH22" i="3"/>
  <c r="AH24" i="1"/>
  <c r="AG22" i="5"/>
  <c r="AG22" i="4"/>
  <c r="AG22" i="3"/>
  <c r="AG24" i="1"/>
  <c r="X22" i="5"/>
  <c r="X22" i="4"/>
  <c r="X22" i="3"/>
  <c r="X24" i="1"/>
  <c r="AM22" i="5"/>
  <c r="AM22" i="4"/>
  <c r="AM22" i="3"/>
  <c r="AM24" i="1"/>
  <c r="AE22" i="5"/>
  <c r="AE22" i="4"/>
  <c r="AE22" i="3"/>
  <c r="AE24" i="1"/>
  <c r="AL24" i="1"/>
  <c r="AL22" i="5"/>
  <c r="AL22" i="4"/>
  <c r="AL22" i="3"/>
  <c r="AD24" i="1"/>
  <c r="AD22" i="5"/>
  <c r="AD22" i="4"/>
  <c r="AD22" i="3"/>
  <c r="V24" i="1"/>
  <c r="V22" i="5"/>
  <c r="V22" i="4"/>
  <c r="V22" i="3"/>
  <c r="N24" i="1"/>
  <c r="N22" i="5"/>
  <c r="N22" i="4"/>
  <c r="N22" i="3"/>
  <c r="AK22" i="3"/>
  <c r="AK24" i="1"/>
  <c r="AK22" i="5"/>
  <c r="AK22" i="4"/>
  <c r="AC22" i="3"/>
  <c r="AC24" i="1"/>
  <c r="AC22" i="5"/>
  <c r="AC22" i="4"/>
  <c r="U22" i="3"/>
  <c r="U24" i="1"/>
  <c r="U22" i="5"/>
  <c r="U22" i="4"/>
  <c r="M22" i="3"/>
  <c r="M24" i="1"/>
  <c r="M22" i="5"/>
  <c r="M22" i="4"/>
  <c r="L22" i="4"/>
  <c r="L22" i="3"/>
  <c r="L24" i="1"/>
  <c r="L22" i="5"/>
  <c r="C24" i="1"/>
  <c r="C8" i="2" s="1"/>
  <c r="B8" i="2" l="1"/>
</calcChain>
</file>

<file path=xl/sharedStrings.xml><?xml version="1.0" encoding="utf-8"?>
<sst xmlns="http://schemas.openxmlformats.org/spreadsheetml/2006/main" count="118" uniqueCount="40">
  <si>
    <t>Manos y muñecas libres de accesorios</t>
  </si>
  <si>
    <t>Se mojan manos con agua corriente</t>
  </si>
  <si>
    <t>Se aplica jabón de dispensador</t>
  </si>
  <si>
    <t>Se friccionan dedos y manos poniendo énfasis en espacios interdigitales</t>
  </si>
  <si>
    <t>Se enjuaga manos con abundante agua sin dejar jabón residual</t>
  </si>
  <si>
    <t>Se seca con toalla desechable</t>
  </si>
  <si>
    <t>Cierra la llave sin contaminar manos</t>
  </si>
  <si>
    <t>UNIDAD:</t>
  </si>
  <si>
    <t>Aprobados</t>
  </si>
  <si>
    <t>Reprobados</t>
  </si>
  <si>
    <t>Criterios</t>
  </si>
  <si>
    <t>SI</t>
  </si>
  <si>
    <t>NO</t>
  </si>
  <si>
    <t>Resultado</t>
  </si>
  <si>
    <t>PERSONA QUE EVALÚA:</t>
  </si>
  <si>
    <t>PAUTA DE COTEJO CUMPLIMIENTO PROTOCOLO DE TOMA DE MUESTRA, ROTULACIÓN, REGISTROS, TRASLADO Y RECEPCIÓN DE PAPANICOLAU- GCL 1.8-APA 1.2</t>
  </si>
  <si>
    <t>EVALUAR  EN MATER CESFAM DR. ORLANDO LEYTON A. PERALILLO</t>
  </si>
  <si>
    <t>RUN.</t>
  </si>
  <si>
    <t>Apellido paterno.</t>
  </si>
  <si>
    <t>Apellido materno.</t>
  </si>
  <si>
    <t>Nombre.</t>
  </si>
  <si>
    <t>Procedencia.</t>
  </si>
  <si>
    <t>Fecha de nacimiento.</t>
  </si>
  <si>
    <t>Fecha de toma de PAP.</t>
  </si>
  <si>
    <t>Antecedentes de PAP anterior.</t>
  </si>
  <si>
    <t>REQUERIMIENTOS MÍNIMOS A COMPLETAR: (si/no)</t>
  </si>
  <si>
    <t>Referir si es una muestra Ges o no Ges.</t>
  </si>
  <si>
    <t>Nombre del médico o matrona que toma el PAP (Nombre, apellidos, RUN).</t>
  </si>
  <si>
    <t>Descripción del cuello uterino.</t>
  </si>
  <si>
    <t>Fecha de última menstruación.</t>
  </si>
  <si>
    <t>Observaciones</t>
  </si>
  <si>
    <t>Periodicidad cada 3 meses, con un tamaño muestral de 57 casos en el trimestre, según calculadora SIS, 90% de cumplimiento y error 0.05%</t>
  </si>
  <si>
    <t>Considera para aprobación el 100% de los ítem completados en hoja SEC</t>
  </si>
  <si>
    <t>FUNCIONARIO RESPONSABLE DE REGISTRO SEC:</t>
  </si>
  <si>
    <t>FECHA DEL REGISTRO:</t>
  </si>
  <si>
    <t>N° aprobados en el trimestre</t>
  </si>
  <si>
    <t>N° reprobados en el trimestre</t>
  </si>
  <si>
    <t>N° total en el trimestre</t>
  </si>
  <si>
    <t>Número de teléfono</t>
  </si>
  <si>
    <t>Hora de toma de 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</si>
</sst>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0" xfId="0" applyAlignment="1">
      <alignment vertical="top"/>
    </xf>
    <xf numFmtId="0" fontId="0" fillId="0" borderId="7" xfId="0" applyBorder="1" applyAlignment="1">
      <alignment wrapText="1"/>
    </xf>
    <xf numFmtId="0" fontId="0" fillId="0" borderId="0" xfId="0" applyAlignment="1">
      <alignment wrapText="1"/>
    </xf>
    <xf numFmtId="0" fontId="2" fillId="2" borderId="3" xfId="0" applyFont="1" applyFill="1" applyBorder="1"/>
    <xf numFmtId="17" fontId="2" fillId="2" borderId="3" xfId="0" applyNumberFormat="1" applyFont="1" applyFill="1" applyBorder="1"/>
    <xf numFmtId="0" fontId="2" fillId="0" borderId="4" xfId="0" applyFont="1" applyBorder="1" applyProtection="1">
      <protection locked="0"/>
    </xf>
    <xf numFmtId="0" fontId="1" fillId="0" borderId="4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2" fillId="0" borderId="8" xfId="0" applyFont="1" applyBorder="1" applyProtection="1">
      <protection locked="0"/>
    </xf>
    <xf numFmtId="14" fontId="1" fillId="0" borderId="4" xfId="0" applyNumberFormat="1" applyFon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3" xfId="0" applyFont="1" applyBorder="1"/>
    <xf numFmtId="0" fontId="1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>
      <alignment horizontal="center" vertical="center"/>
    </xf>
    <xf numFmtId="0" fontId="1" fillId="0" borderId="6" xfId="0" applyFont="1" applyBorder="1" applyAlignment="1" applyProtection="1">
      <alignment horizontal="center"/>
      <protection locked="0"/>
    </xf>
    <xf numFmtId="14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left" vertical="center" indent="1"/>
    </xf>
    <xf numFmtId="0" fontId="0" fillId="0" borderId="1" xfId="0" applyBorder="1"/>
    <xf numFmtId="0" fontId="7" fillId="0" borderId="1" xfId="0" applyFont="1" applyBorder="1" applyAlignment="1">
      <alignment horizontal="left" vertical="center" indent="1"/>
    </xf>
    <xf numFmtId="0" fontId="7" fillId="0" borderId="9" xfId="0" applyFont="1" applyBorder="1" applyAlignment="1">
      <alignment horizontal="left" vertical="center" indent="1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" fillId="3" borderId="5" xfId="0" applyFont="1" applyFill="1" applyBorder="1" applyAlignment="1">
      <alignment horizontal="left" wrapText="1"/>
    </xf>
    <xf numFmtId="0" fontId="8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8" xfId="0" applyFont="1" applyBorder="1" applyAlignment="1">
      <alignment horizontal="right" wrapText="1"/>
    </xf>
    <xf numFmtId="0" fontId="7" fillId="0" borderId="1" xfId="0" applyFont="1" applyBorder="1" applyAlignment="1" applyProtection="1">
      <alignment horizontal="left" vertical="center" indent="1"/>
    </xf>
    <xf numFmtId="0" fontId="9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71"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theme="0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theme="0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theme="0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theme="0"/>
          <bgColor rgb="FFFF0000"/>
        </patternFill>
      </fill>
    </dxf>
    <dxf>
      <numFmt numFmtId="0" formatCode="General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a5" displayName="Tabla5" ref="B10:F23" headerRowCount="0" totalsRowShown="0" headerRowDxfId="70" dataDxfId="68" headerRowBorderDxfId="69" tableBorderDxfId="67" totalsRowBorderDxfId="66">
  <tableColumns count="5">
    <tableColumn id="1" xr3:uid="{00000000-0010-0000-0000-000001000000}" name="Columna1" headerRowDxfId="65" dataDxfId="64"/>
    <tableColumn id="2" xr3:uid="{00000000-0010-0000-0000-000002000000}" name="Columna2" headerRowDxfId="63" dataDxfId="62"/>
    <tableColumn id="3" xr3:uid="{00000000-0010-0000-0000-000003000000}" name="Columna3" headerRowDxfId="61" dataDxfId="60"/>
    <tableColumn id="4" xr3:uid="{00000000-0010-0000-0000-000004000000}" name="Columna4" headerRowDxfId="59" dataDxfId="58"/>
    <tableColumn id="5" xr3:uid="{00000000-0010-0000-0000-000005000000}" name="Columna5" headerRowDxfId="57" dataDxfId="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14E47-C116-4F55-91CD-6B5C3968829A}" name="Tabla52" displayName="Tabla52" ref="B10:F21" headerRowCount="0" totalsRowShown="0" headerRowDxfId="55" dataDxfId="53" headerRowBorderDxfId="54" tableBorderDxfId="52" totalsRowBorderDxfId="51">
  <tableColumns count="5">
    <tableColumn id="1" xr3:uid="{B9C28B64-2612-4FBE-9EBC-1EC8EEE1C9B3}" name="Columna1" headerRowDxfId="50" dataDxfId="49"/>
    <tableColumn id="2" xr3:uid="{A688CC05-35D0-42BC-B324-390E25115D8C}" name="Columna2" headerRowDxfId="48" dataDxfId="47"/>
    <tableColumn id="3" xr3:uid="{1DB1A32E-0B23-4EF1-AA04-E371946F0EC3}" name="Columna3" headerRowDxfId="46" dataDxfId="45"/>
    <tableColumn id="4" xr3:uid="{AA3530BF-8381-4F4B-A2E7-083A39334BAF}" name="Columna4" headerRowDxfId="44" dataDxfId="43"/>
    <tableColumn id="5" xr3:uid="{13E17968-0651-4C41-B880-6B2ED89527E4}" name="Columna5" headerRowDxfId="42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A66242-7367-455C-A46E-FAB3BC7BA54E}" name="Tabla55" displayName="Tabla55" ref="B10:F21" headerRowCount="0" totalsRowShown="0" headerRowDxfId="40" dataDxfId="38" headerRowBorderDxfId="39" tableBorderDxfId="37" totalsRowBorderDxfId="36">
  <tableColumns count="5">
    <tableColumn id="1" xr3:uid="{5A9EC4D5-6708-424F-9BBC-891C876513D9}" name="Columna1" headerRowDxfId="35" dataDxfId="34"/>
    <tableColumn id="2" xr3:uid="{757320A4-E3C3-4C73-B55E-3B38E7D4EF11}" name="Columna2" headerRowDxfId="33" dataDxfId="32"/>
    <tableColumn id="3" xr3:uid="{130B5800-3270-4A4C-B9A6-93BC2FCB809B}" name="Columna3" headerRowDxfId="31" dataDxfId="30"/>
    <tableColumn id="4" xr3:uid="{73DC32BC-1423-4F81-868B-96FDEC94DD2E}" name="Columna4" headerRowDxfId="29" dataDxfId="28"/>
    <tableColumn id="5" xr3:uid="{C25E88A3-28AF-496D-A520-18210F04DBEC}" name="Columna5" headerRowDxfId="27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4E6043-5BB5-46EE-93CB-2C4EF768F12E}" name="Tabla57" displayName="Tabla57" ref="B10:F21" headerRowCount="0" totalsRowShown="0" headerRowDxfId="25" dataDxfId="23" headerRowBorderDxfId="24" tableBorderDxfId="22" totalsRowBorderDxfId="21">
  <tableColumns count="5">
    <tableColumn id="1" xr3:uid="{BCE895DF-62CA-476C-9E99-393F8DD663B1}" name="Columna1" headerRowDxfId="20" dataDxfId="19"/>
    <tableColumn id="2" xr3:uid="{6FDB1E70-C224-473A-A140-D000E7F455FF}" name="Columna2" headerRowDxfId="18" dataDxfId="17"/>
    <tableColumn id="3" xr3:uid="{0626AA07-9FE1-4F26-A759-E747C7541068}" name="Columna3" headerRowDxfId="16" dataDxfId="15"/>
    <tableColumn id="4" xr3:uid="{D34A3F37-CAA8-4E9F-8B9F-79636EFF138B}" name="Columna4" headerRowDxfId="14" dataDxfId="13"/>
    <tableColumn id="5" xr3:uid="{FC6F7793-F255-4E24-B03E-E5BBBBD4DA8A}" name="Columna5" headerRowDxfId="12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5:C22" totalsRowShown="0">
  <autoFilter ref="A15:C22" xr:uid="{00000000-0009-0000-0100-000002000000}"/>
  <tableColumns count="3">
    <tableColumn id="1" xr3:uid="{00000000-0010-0000-0100-000001000000}" name="Criterios" dataDxfId="10"/>
    <tableColumn id="2" xr3:uid="{00000000-0010-0000-0100-000002000000}" name="SI" dataDxfId="9">
      <calculatedColumnFormula>COUNTIF('mayo a julio 26'!C10:F10,"si")</calculatedColumnFormula>
    </tableColumn>
    <tableColumn id="3" xr3:uid="{00000000-0010-0000-0100-000003000000}" name="NO" dataDxfId="8">
      <calculatedColumnFormula>COUNTIF('mayo a julio 26'!C10:F10,"no")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B7:C8" totalsRowShown="0">
  <autoFilter ref="B7:C8" xr:uid="{00000000-0009-0000-0100-000003000000}"/>
  <tableColumns count="2">
    <tableColumn id="1" xr3:uid="{00000000-0010-0000-0200-000001000000}" name="Aprobados">
      <calculatedColumnFormula>COUNTIF('mayo a julio 26'!C24:F24,"Aprobado")</calculatedColumnFormula>
    </tableColumn>
    <tableColumn id="2" xr3:uid="{00000000-0010-0000-0200-000002000000}" name="Reprobados">
      <calculatedColumnFormula>COUNTIF('mayo a julio 26'!C24:F24,"Reprobado")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G31"/>
  <sheetViews>
    <sheetView tabSelected="1" zoomScale="50" zoomScaleNormal="50" workbookViewId="0">
      <selection activeCell="I15" sqref="I15"/>
    </sheetView>
  </sheetViews>
  <sheetFormatPr baseColWidth="10" defaultRowHeight="14.4" x14ac:dyDescent="0.3"/>
  <cols>
    <col min="1" max="1" width="5.6640625" customWidth="1"/>
    <col min="2" max="2" width="45.21875" customWidth="1"/>
    <col min="3" max="3" width="24.6640625" customWidth="1"/>
    <col min="4" max="4" width="23.109375" customWidth="1"/>
    <col min="5" max="5" width="22.5546875" customWidth="1"/>
    <col min="6" max="6" width="22.77734375" customWidth="1"/>
    <col min="7" max="7" width="22.5546875" customWidth="1"/>
    <col min="8" max="8" width="19.88671875" customWidth="1"/>
    <col min="9" max="9" width="21" customWidth="1"/>
    <col min="10" max="10" width="20.109375" customWidth="1"/>
    <col min="11" max="11" width="19.88671875" customWidth="1"/>
    <col min="12" max="12" width="20.44140625" customWidth="1"/>
    <col min="13" max="13" width="20.6640625" customWidth="1"/>
    <col min="14" max="14" width="20.21875" customWidth="1"/>
    <col min="15" max="15" width="21.5546875" customWidth="1"/>
    <col min="16" max="16" width="20.77734375" customWidth="1"/>
    <col min="17" max="17" width="21.21875" customWidth="1"/>
    <col min="18" max="18" width="21.33203125" customWidth="1"/>
    <col min="19" max="19" width="20.44140625" customWidth="1"/>
    <col min="20" max="22" width="21.33203125" customWidth="1"/>
    <col min="23" max="23" width="19.88671875" customWidth="1"/>
    <col min="24" max="24" width="21.33203125" customWidth="1"/>
    <col min="25" max="25" width="21" customWidth="1"/>
    <col min="26" max="26" width="19.5546875" customWidth="1"/>
    <col min="27" max="27" width="21.21875" customWidth="1"/>
    <col min="28" max="28" width="21" customWidth="1"/>
    <col min="29" max="29" width="21.21875" customWidth="1"/>
    <col min="30" max="30" width="20.6640625" customWidth="1"/>
    <col min="31" max="31" width="21" customWidth="1"/>
    <col min="32" max="32" width="20.77734375" customWidth="1"/>
    <col min="33" max="33" width="20.21875" customWidth="1"/>
    <col min="34" max="34" width="22.109375" customWidth="1"/>
    <col min="35" max="35" width="19.5546875" customWidth="1"/>
    <col min="36" max="36" width="20.77734375" customWidth="1"/>
    <col min="37" max="37" width="21.33203125" customWidth="1"/>
    <col min="38" max="38" width="20.21875" customWidth="1"/>
    <col min="39" max="40" width="20.44140625" customWidth="1"/>
    <col min="41" max="41" width="20.6640625" customWidth="1"/>
    <col min="42" max="42" width="21.5546875" customWidth="1"/>
    <col min="43" max="43" width="21.21875" customWidth="1"/>
    <col min="44" max="45" width="20.44140625" customWidth="1"/>
    <col min="46" max="46" width="21" customWidth="1"/>
    <col min="47" max="47" width="21.21875" customWidth="1"/>
    <col min="48" max="48" width="20.6640625" customWidth="1"/>
    <col min="49" max="51" width="20.77734375" customWidth="1"/>
    <col min="52" max="52" width="21.33203125" customWidth="1"/>
    <col min="53" max="53" width="21" customWidth="1"/>
    <col min="54" max="54" width="21.33203125" customWidth="1"/>
    <col min="55" max="56" width="21" customWidth="1"/>
    <col min="57" max="57" width="20.6640625" customWidth="1"/>
    <col min="58" max="58" width="21.21875" customWidth="1"/>
    <col min="59" max="59" width="21.88671875" customWidth="1"/>
  </cols>
  <sheetData>
    <row r="2" spans="1:59" x14ac:dyDescent="0.3">
      <c r="B2" s="13" t="s">
        <v>15</v>
      </c>
    </row>
    <row r="3" spans="1:59" x14ac:dyDescent="0.3">
      <c r="B3" s="14" t="s">
        <v>16</v>
      </c>
      <c r="C3" s="14"/>
      <c r="D3" s="14"/>
      <c r="E3" s="14"/>
    </row>
    <row r="4" spans="1:59" s="32" customFormat="1" ht="15" thickBot="1" x14ac:dyDescent="0.35">
      <c r="B4" s="33"/>
      <c r="C4" s="33">
        <v>1</v>
      </c>
      <c r="D4" s="33">
        <v>2</v>
      </c>
      <c r="E4" s="33">
        <v>3</v>
      </c>
      <c r="F4" s="32">
        <v>4</v>
      </c>
      <c r="G4" s="33">
        <v>5</v>
      </c>
      <c r="H4" s="32">
        <v>6</v>
      </c>
      <c r="I4" s="33">
        <v>7</v>
      </c>
      <c r="J4" s="32">
        <v>8</v>
      </c>
      <c r="K4" s="33">
        <v>9</v>
      </c>
      <c r="L4" s="32">
        <v>10</v>
      </c>
      <c r="M4" s="33">
        <v>11</v>
      </c>
      <c r="N4" s="32">
        <v>12</v>
      </c>
      <c r="O4" s="33">
        <v>13</v>
      </c>
      <c r="P4" s="32">
        <v>14</v>
      </c>
      <c r="Q4" s="33">
        <v>15</v>
      </c>
      <c r="R4" s="32">
        <v>16</v>
      </c>
      <c r="S4" s="33">
        <v>17</v>
      </c>
      <c r="T4" s="32">
        <v>18</v>
      </c>
      <c r="U4" s="35">
        <v>19</v>
      </c>
      <c r="V4" s="32">
        <v>20</v>
      </c>
      <c r="W4" s="33">
        <v>21</v>
      </c>
      <c r="X4" s="33">
        <v>22</v>
      </c>
      <c r="Y4" s="32">
        <v>23</v>
      </c>
      <c r="Z4" s="33">
        <v>24</v>
      </c>
      <c r="AA4" s="33">
        <v>25</v>
      </c>
      <c r="AB4" s="32">
        <v>26</v>
      </c>
      <c r="AC4" s="33">
        <v>27</v>
      </c>
      <c r="AD4" s="33">
        <v>28</v>
      </c>
      <c r="AE4" s="32">
        <v>29</v>
      </c>
      <c r="AF4" s="33">
        <v>30</v>
      </c>
      <c r="AG4" s="33">
        <v>31</v>
      </c>
      <c r="AH4" s="32">
        <v>32</v>
      </c>
      <c r="AI4" s="33">
        <v>33</v>
      </c>
      <c r="AJ4" s="33">
        <v>34</v>
      </c>
      <c r="AK4" s="32">
        <v>35</v>
      </c>
      <c r="AL4" s="33">
        <v>36</v>
      </c>
      <c r="AM4" s="33">
        <v>37</v>
      </c>
      <c r="AN4" s="36">
        <v>38</v>
      </c>
      <c r="AO4" s="33">
        <v>39</v>
      </c>
      <c r="AP4" s="33">
        <v>40</v>
      </c>
      <c r="AQ4" s="32">
        <v>41</v>
      </c>
      <c r="AR4" s="33">
        <v>42</v>
      </c>
      <c r="AS4" s="33">
        <v>43</v>
      </c>
      <c r="AT4" s="32">
        <v>44</v>
      </c>
      <c r="AU4" s="33">
        <v>45</v>
      </c>
      <c r="AV4" s="33">
        <v>46</v>
      </c>
      <c r="AW4" s="32">
        <v>47</v>
      </c>
      <c r="AX4" s="33">
        <v>48</v>
      </c>
      <c r="AY4" s="33">
        <v>49</v>
      </c>
      <c r="AZ4" s="32">
        <v>50</v>
      </c>
      <c r="BA4" s="33">
        <v>51</v>
      </c>
      <c r="BB4" s="33">
        <v>52</v>
      </c>
      <c r="BC4" s="33">
        <v>53</v>
      </c>
      <c r="BD4" s="33">
        <v>54</v>
      </c>
      <c r="BE4" s="33">
        <v>55</v>
      </c>
      <c r="BF4" s="33">
        <v>56</v>
      </c>
      <c r="BG4" s="35">
        <v>57</v>
      </c>
    </row>
    <row r="5" spans="1:59" ht="22.5" customHeight="1" thickBot="1" x14ac:dyDescent="0.35">
      <c r="B5" s="9" t="s">
        <v>7</v>
      </c>
      <c r="C5" s="1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ht="37.799999999999997" customHeight="1" thickBot="1" x14ac:dyDescent="0.35">
      <c r="B6" s="37" t="s">
        <v>33</v>
      </c>
      <c r="C6" s="23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20.25" customHeight="1" thickBot="1" x14ac:dyDescent="0.35">
      <c r="B7" s="9" t="s">
        <v>34</v>
      </c>
      <c r="C7" s="20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20.25" customHeight="1" thickBot="1" x14ac:dyDescent="0.35">
      <c r="B8" s="9" t="s">
        <v>14</v>
      </c>
      <c r="C8" s="2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</row>
    <row r="9" spans="1:59" ht="29.4" customHeight="1" x14ac:dyDescent="0.3">
      <c r="B9" s="34" t="s">
        <v>25</v>
      </c>
      <c r="C9" s="22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ht="15.6" x14ac:dyDescent="0.3">
      <c r="A10">
        <v>1</v>
      </c>
      <c r="B10" s="24" t="s">
        <v>17</v>
      </c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</row>
    <row r="11" spans="1:59" ht="31.2" customHeight="1" x14ac:dyDescent="0.3">
      <c r="A11">
        <v>2</v>
      </c>
      <c r="B11" s="24" t="s">
        <v>18</v>
      </c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</row>
    <row r="12" spans="1:59" ht="32.25" customHeight="1" x14ac:dyDescent="0.3">
      <c r="A12">
        <v>3</v>
      </c>
      <c r="B12" s="24" t="s">
        <v>19</v>
      </c>
      <c r="C12" s="2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</row>
    <row r="13" spans="1:59" ht="29.4" customHeight="1" x14ac:dyDescent="0.3">
      <c r="A13">
        <v>4</v>
      </c>
      <c r="B13" s="24" t="s">
        <v>20</v>
      </c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</row>
    <row r="14" spans="1:59" ht="30" customHeight="1" x14ac:dyDescent="0.3">
      <c r="A14">
        <v>5</v>
      </c>
      <c r="B14" s="24" t="s">
        <v>21</v>
      </c>
      <c r="C14" s="25"/>
      <c r="D14" s="16"/>
      <c r="E14" s="16"/>
      <c r="F14" s="17"/>
      <c r="G14" s="16"/>
      <c r="H14" s="17"/>
      <c r="I14" s="16"/>
      <c r="J14" s="17"/>
      <c r="K14" s="16"/>
      <c r="L14" s="17"/>
      <c r="M14" s="16"/>
      <c r="N14" s="17"/>
      <c r="O14" s="16"/>
      <c r="P14" s="17"/>
      <c r="Q14" s="16"/>
      <c r="R14" s="17"/>
      <c r="S14" s="16"/>
      <c r="T14" s="17"/>
      <c r="U14" s="16"/>
      <c r="V14" s="17"/>
      <c r="W14" s="16"/>
      <c r="X14" s="17"/>
      <c r="Y14" s="16"/>
      <c r="Z14" s="17"/>
      <c r="AA14" s="1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</row>
    <row r="15" spans="1:59" ht="30" customHeight="1" x14ac:dyDescent="0.3">
      <c r="A15">
        <v>6</v>
      </c>
      <c r="B15" s="24" t="s">
        <v>22</v>
      </c>
      <c r="C15" s="25"/>
      <c r="D15" s="16"/>
      <c r="E15" s="16"/>
      <c r="F15" s="17"/>
      <c r="G15" s="16"/>
      <c r="H15" s="17"/>
      <c r="I15" s="16"/>
      <c r="J15" s="17"/>
      <c r="K15" s="16"/>
      <c r="L15" s="17"/>
      <c r="M15" s="16"/>
      <c r="N15" s="17"/>
      <c r="O15" s="16"/>
      <c r="P15" s="17"/>
      <c r="Q15" s="16"/>
      <c r="R15" s="17"/>
      <c r="S15" s="16"/>
      <c r="T15" s="17"/>
      <c r="U15" s="16"/>
      <c r="V15" s="17"/>
      <c r="W15" s="16"/>
      <c r="X15" s="17"/>
      <c r="Y15" s="16"/>
      <c r="Z15" s="17"/>
      <c r="AA15" s="1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</row>
    <row r="16" spans="1:59" ht="30" customHeight="1" x14ac:dyDescent="0.3">
      <c r="A16">
        <v>7</v>
      </c>
      <c r="B16" s="38" t="s">
        <v>38</v>
      </c>
      <c r="C16" s="39"/>
      <c r="D16" s="39"/>
      <c r="E16" s="39"/>
      <c r="F16" s="39"/>
      <c r="G16" s="16"/>
      <c r="H16" s="17"/>
      <c r="I16" s="16"/>
      <c r="J16" s="17"/>
      <c r="K16" s="16"/>
      <c r="L16" s="17"/>
      <c r="M16" s="16"/>
      <c r="N16" s="17"/>
      <c r="O16" s="16"/>
      <c r="P16" s="17"/>
      <c r="Q16" s="16"/>
      <c r="R16" s="17"/>
      <c r="S16" s="16"/>
      <c r="T16" s="17"/>
      <c r="U16" s="16"/>
      <c r="V16" s="17"/>
      <c r="W16" s="16"/>
      <c r="X16" s="17"/>
      <c r="Y16" s="16"/>
      <c r="Z16" s="17"/>
      <c r="AA16" s="1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</row>
    <row r="17" spans="1:59" ht="33.6" customHeight="1" x14ac:dyDescent="0.3">
      <c r="A17">
        <v>8</v>
      </c>
      <c r="B17" s="24" t="s">
        <v>23</v>
      </c>
      <c r="C17" s="25"/>
      <c r="D17" s="16"/>
      <c r="E17" s="16"/>
      <c r="F17" s="17"/>
      <c r="G17" s="16"/>
      <c r="H17" s="17"/>
      <c r="I17" s="16"/>
      <c r="J17" s="17"/>
      <c r="K17" s="16"/>
      <c r="L17" s="17"/>
      <c r="M17" s="16"/>
      <c r="N17" s="17"/>
      <c r="O17" s="16"/>
      <c r="P17" s="17"/>
      <c r="Q17" s="16"/>
      <c r="R17" s="17"/>
      <c r="S17" s="16"/>
      <c r="T17" s="17"/>
      <c r="U17" s="16"/>
      <c r="V17" s="17"/>
      <c r="W17" s="16"/>
      <c r="X17" s="17"/>
      <c r="Y17" s="16"/>
      <c r="Z17" s="17"/>
      <c r="AA17" s="1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</row>
    <row r="18" spans="1:59" ht="33.6" customHeight="1" x14ac:dyDescent="0.3">
      <c r="A18">
        <v>9</v>
      </c>
      <c r="B18" s="38" t="s">
        <v>39</v>
      </c>
      <c r="C18" s="39"/>
      <c r="D18" s="39"/>
      <c r="E18" s="39"/>
      <c r="F18" s="39"/>
      <c r="G18" s="16"/>
      <c r="H18" s="17"/>
      <c r="I18" s="16"/>
      <c r="J18" s="17"/>
      <c r="K18" s="16"/>
      <c r="L18" s="17"/>
      <c r="M18" s="16"/>
      <c r="N18" s="17"/>
      <c r="O18" s="16"/>
      <c r="P18" s="17"/>
      <c r="Q18" s="16"/>
      <c r="R18" s="17"/>
      <c r="S18" s="16"/>
      <c r="T18" s="17"/>
      <c r="U18" s="16"/>
      <c r="V18" s="17"/>
      <c r="W18" s="16"/>
      <c r="X18" s="17"/>
      <c r="Y18" s="16"/>
      <c r="Z18" s="17"/>
      <c r="AA18" s="16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</row>
    <row r="19" spans="1:59" ht="36" customHeight="1" x14ac:dyDescent="0.3">
      <c r="A19">
        <v>10</v>
      </c>
      <c r="B19" s="24" t="s">
        <v>24</v>
      </c>
      <c r="C19" s="2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</row>
    <row r="20" spans="1:59" ht="36" customHeight="1" x14ac:dyDescent="0.3">
      <c r="A20">
        <v>11</v>
      </c>
      <c r="B20" s="26" t="s">
        <v>26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</row>
    <row r="21" spans="1:59" ht="36" customHeight="1" x14ac:dyDescent="0.3">
      <c r="A21">
        <v>12</v>
      </c>
      <c r="B21" s="31" t="s">
        <v>27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</row>
    <row r="22" spans="1:59" ht="36" customHeight="1" x14ac:dyDescent="0.3">
      <c r="A22">
        <v>13</v>
      </c>
      <c r="B22" s="26" t="s">
        <v>28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</row>
    <row r="23" spans="1:59" ht="36" customHeight="1" x14ac:dyDescent="0.3">
      <c r="A23">
        <v>14</v>
      </c>
      <c r="B23" s="27" t="s">
        <v>29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</row>
    <row r="24" spans="1:59" ht="21" customHeight="1" x14ac:dyDescent="0.3">
      <c r="B24" s="15" t="s">
        <v>13</v>
      </c>
      <c r="C24" s="18" t="str">
        <f>IF(Hoja1!B4+Hoja1!B5&lt;7," ",IF(Hoja1!B4=7,"Aprobado","Reprobado"))</f>
        <v xml:space="preserve"> </v>
      </c>
      <c r="D24" s="18" t="str">
        <f>IF(Hoja1!C4+Hoja1!C5&lt;7," ",IF(Hoja1!C4&gt;=7,"Aprobado","Reprobado"))</f>
        <v xml:space="preserve"> </v>
      </c>
      <c r="E24" s="18" t="str">
        <f>IF(Hoja1!D4+Hoja1!D5&lt;7," ",IF(Hoja1!D4&gt;=7,"Aprobado","Reprobado"))</f>
        <v xml:space="preserve"> </v>
      </c>
      <c r="F24" s="18" t="str">
        <f>IF(Hoja1!E4+Hoja1!E5&lt;7," ",IF(Hoja1!E4&gt;=7,"Aprobado","Reprobado"))</f>
        <v xml:space="preserve"> </v>
      </c>
      <c r="G24" s="30" t="e">
        <f>IF(Hoja1!F4+Hoja1!F5&lt;7," ",IF(Hoja1!F4&gt;=7,"Aprobado","Reprobado"))</f>
        <v>#REF!</v>
      </c>
      <c r="H24" s="30" t="e">
        <f>IF(Hoja1!G4+Hoja1!G5&lt;7," ",IF(Hoja1!G4&gt;=7,"Aprobado","Reprobado"))</f>
        <v>#REF!</v>
      </c>
      <c r="I24" s="30" t="e">
        <f>IF(Hoja1!H4+Hoja1!H5&lt;7," ",IF(Hoja1!H4&gt;=7,"Aprobado","Reprobado"))</f>
        <v>#REF!</v>
      </c>
      <c r="J24" s="30" t="e">
        <f>IF(Hoja1!I4+Hoja1!I5&lt;7," ",IF(Hoja1!I4&gt;=7,"Aprobado","Reprobado"))</f>
        <v>#REF!</v>
      </c>
      <c r="K24" s="30" t="e">
        <f>IF(Hoja1!J4+Hoja1!J5&lt;7," ",IF(Hoja1!J4&gt;=7,"Aprobado","Reprobado"))</f>
        <v>#REF!</v>
      </c>
      <c r="L24" s="30" t="e">
        <f>IF(Hoja1!K4+Hoja1!K5&lt;7," ",IF(Hoja1!K4&gt;=7,"Aprobado","Reprobado"))</f>
        <v>#REF!</v>
      </c>
      <c r="M24" s="30" t="e">
        <f>IF(Hoja1!L4+Hoja1!L5&lt;7," ",IF(Hoja1!L4&gt;=7,"Aprobado","Reprobado"))</f>
        <v>#REF!</v>
      </c>
      <c r="N24" s="30" t="e">
        <f>IF(Hoja1!M4+Hoja1!M5&lt;7," ",IF(Hoja1!M4&gt;=7,"Aprobado","Reprobado"))</f>
        <v>#REF!</v>
      </c>
      <c r="O24" s="30" t="e">
        <f>IF(Hoja1!N4+Hoja1!N5&lt;7," ",IF(Hoja1!N4&gt;=7,"Aprobado","Reprobado"))</f>
        <v>#REF!</v>
      </c>
      <c r="P24" s="30" t="e">
        <f>IF(Hoja1!O4+Hoja1!O5&lt;7," ",IF(Hoja1!O4&gt;=7,"Aprobado","Reprobado"))</f>
        <v>#REF!</v>
      </c>
      <c r="Q24" s="30" t="e">
        <f>IF(Hoja1!P4+Hoja1!P5&lt;7," ",IF(Hoja1!P4&gt;=7,"Aprobado","Reprobado"))</f>
        <v>#REF!</v>
      </c>
      <c r="R24" s="30" t="e">
        <f>IF(Hoja1!Q4+Hoja1!Q5&lt;7," ",IF(Hoja1!Q4&gt;=7,"Aprobado","Reprobado"))</f>
        <v>#REF!</v>
      </c>
      <c r="S24" s="30" t="e">
        <f>IF(Hoja1!R4+Hoja1!R5&lt;7," ",IF(Hoja1!R4&gt;=7,"Aprobado","Reprobado"))</f>
        <v>#REF!</v>
      </c>
      <c r="T24" s="30" t="e">
        <f>IF(Hoja1!S4+Hoja1!S5&lt;7," ",IF(Hoja1!S4&gt;=7,"Aprobado","Reprobado"))</f>
        <v>#REF!</v>
      </c>
      <c r="U24" s="30" t="e">
        <f>IF(Hoja1!T4+Hoja1!T5&lt;7," ",IF(Hoja1!T4&gt;=7,"Aprobado","Reprobado"))</f>
        <v>#REF!</v>
      </c>
      <c r="V24" s="30" t="e">
        <f>IF(Hoja1!U4+Hoja1!U5&lt;7," ",IF(Hoja1!U4&gt;=7,"Aprobado","Reprobado"))</f>
        <v>#REF!</v>
      </c>
      <c r="W24" s="30" t="e">
        <f>IF(Hoja1!V4+Hoja1!V5&lt;7," ",IF(Hoja1!V4&gt;=7,"Aprobado","Reprobado"))</f>
        <v>#REF!</v>
      </c>
      <c r="X24" s="30" t="e">
        <f>IF(Hoja1!W4+Hoja1!W5&lt;7," ",IF(Hoja1!W4&gt;=7,"Aprobado","Reprobado"))</f>
        <v>#REF!</v>
      </c>
      <c r="Y24" s="30" t="e">
        <f>IF(Hoja1!X4+Hoja1!X5&lt;7," ",IF(Hoja1!X4&gt;=7,"Aprobado","Reprobado"))</f>
        <v>#REF!</v>
      </c>
      <c r="Z24" s="30" t="e">
        <f>IF(Hoja1!Y4+Hoja1!Y5&lt;7," ",IF(Hoja1!Y4&gt;=7,"Aprobado","Reprobado"))</f>
        <v>#REF!</v>
      </c>
      <c r="AA24" s="30" t="e">
        <f>IF(Hoja1!Z4+Hoja1!Z5&lt;7," ",IF(Hoja1!Z4&gt;=7,"Aprobado","Reprobado"))</f>
        <v>#REF!</v>
      </c>
      <c r="AB24" s="30" t="e">
        <f>IF(Hoja1!AA4+Hoja1!AA5&lt;7," ",IF(Hoja1!AA4&gt;=7,"Aprobado","Reprobado"))</f>
        <v>#REF!</v>
      </c>
      <c r="AC24" s="30" t="e">
        <f>IF(Hoja1!AB4+Hoja1!AB5&lt;7," ",IF(Hoja1!AB4&gt;=7,"Aprobado","Reprobado"))</f>
        <v>#REF!</v>
      </c>
      <c r="AD24" s="30" t="e">
        <f>IF(Hoja1!AC4+Hoja1!AC5&lt;7," ",IF(Hoja1!AC4&gt;=7,"Aprobado","Reprobado"))</f>
        <v>#REF!</v>
      </c>
      <c r="AE24" s="30" t="e">
        <f>IF(Hoja1!AD4+Hoja1!AD5&lt;7," ",IF(Hoja1!AD4&gt;=7,"Aprobado","Reprobado"))</f>
        <v>#REF!</v>
      </c>
      <c r="AF24" s="30" t="e">
        <f>IF(Hoja1!AE4+Hoja1!AE5&lt;7," ",IF(Hoja1!AE4&gt;=7,"Aprobado","Reprobado"))</f>
        <v>#REF!</v>
      </c>
      <c r="AG24" s="30" t="e">
        <f>IF(Hoja1!AF4+Hoja1!AF5&lt;7," ",IF(Hoja1!AF4&gt;=7,"Aprobado","Reprobado"))</f>
        <v>#REF!</v>
      </c>
      <c r="AH24" s="30" t="e">
        <f>IF(Hoja1!AG4+Hoja1!AG5&lt;7," ",IF(Hoja1!AG4&gt;=7,"Aprobado","Reprobado"))</f>
        <v>#REF!</v>
      </c>
      <c r="AI24" s="30" t="e">
        <f>IF(Hoja1!AH4+Hoja1!AH5&lt;7," ",IF(Hoja1!AH4&gt;=7,"Aprobado","Reprobado"))</f>
        <v>#REF!</v>
      </c>
      <c r="AJ24" s="30" t="e">
        <f>IF(Hoja1!AI4+Hoja1!AI5&lt;7," ",IF(Hoja1!AI4&gt;=7,"Aprobado","Reprobado"))</f>
        <v>#REF!</v>
      </c>
      <c r="AK24" s="30" t="e">
        <f>IF(Hoja1!AJ4+Hoja1!AJ5&lt;7," ",IF(Hoja1!AJ4&gt;=7,"Aprobado","Reprobado"))</f>
        <v>#REF!</v>
      </c>
      <c r="AL24" s="30" t="e">
        <f>IF(Hoja1!AK4+Hoja1!AK5&lt;7," ",IF(Hoja1!AK4&gt;=7,"Aprobado","Reprobado"))</f>
        <v>#REF!</v>
      </c>
      <c r="AM24" s="30" t="e">
        <f>IF(Hoja1!AL4+Hoja1!AL5&lt;7," ",IF(Hoja1!AL4&gt;=7,"Aprobado","Reprobado"))</f>
        <v>#REF!</v>
      </c>
      <c r="AN24" s="30" t="str">
        <f>IF(Hoja1!AM4+Hoja1!AM5&lt;7," ",IF(Hoja1!AM4&gt;=7,"Aprobado","Reprobado"))</f>
        <v xml:space="preserve"> </v>
      </c>
      <c r="AO24" s="30" t="str">
        <f>IF(Hoja1!AN4+Hoja1!AN5&lt;7," ",IF(Hoja1!AN4&gt;=7,"Aprobado","Reprobado"))</f>
        <v xml:space="preserve"> </v>
      </c>
      <c r="AP24" s="30" t="str">
        <f>IF(Hoja1!AO4+Hoja1!AO5&lt;7," ",IF(Hoja1!AO4&gt;=7,"Aprobado","Reprobado"))</f>
        <v xml:space="preserve"> </v>
      </c>
      <c r="AQ24" s="30" t="str">
        <f>IF(Hoja1!AP4+Hoja1!AP5&lt;7," ",IF(Hoja1!AP4&gt;=7,"Aprobado","Reprobado"))</f>
        <v xml:space="preserve"> </v>
      </c>
      <c r="AR24" s="30" t="str">
        <f>IF(Hoja1!AQ4+Hoja1!AQ5&lt;7," ",IF(Hoja1!AQ4&gt;=7,"Aprobado","Reprobado"))</f>
        <v xml:space="preserve"> </v>
      </c>
      <c r="AS24" s="30" t="str">
        <f>IF(Hoja1!AR4+Hoja1!AR5&lt;7," ",IF(Hoja1!AR4&gt;=7,"Aprobado","Reprobado"))</f>
        <v xml:space="preserve"> </v>
      </c>
      <c r="AT24" s="30" t="str">
        <f>IF(Hoja1!AS4+Hoja1!AS5&lt;7," ",IF(Hoja1!AS4&gt;=7,"Aprobado","Reprobado"))</f>
        <v xml:space="preserve"> </v>
      </c>
      <c r="AU24" s="30" t="str">
        <f>IF(Hoja1!AT4+Hoja1!AT5&lt;7," ",IF(Hoja1!AT4&gt;=7,"Aprobado","Reprobado"))</f>
        <v xml:space="preserve"> </v>
      </c>
      <c r="AV24" s="30" t="str">
        <f>IF(Hoja1!AU4+Hoja1!AU5&lt;7," ",IF(Hoja1!AU4&gt;=7,"Aprobado","Reprobado"))</f>
        <v xml:space="preserve"> </v>
      </c>
      <c r="AW24" s="30" t="str">
        <f>IF(Hoja1!AV4+Hoja1!AV5&lt;7," ",IF(Hoja1!AV4&gt;=7,"Aprobado","Reprobado"))</f>
        <v xml:space="preserve"> </v>
      </c>
      <c r="AX24" s="30" t="str">
        <f>IF(Hoja1!AW4+Hoja1!AW5&lt;7," ",IF(Hoja1!AW4&gt;=7,"Aprobado","Reprobado"))</f>
        <v xml:space="preserve"> </v>
      </c>
      <c r="AY24" s="30" t="str">
        <f>IF(Hoja1!AX4+Hoja1!AX5&lt;7," ",IF(Hoja1!AX4&gt;=7,"Aprobado","Reprobado"))</f>
        <v xml:space="preserve"> </v>
      </c>
      <c r="AZ24" s="30" t="str">
        <f>IF(Hoja1!AY4+Hoja1!AY5&lt;7," ",IF(Hoja1!AY4&gt;=7,"Aprobado","Reprobado"))</f>
        <v xml:space="preserve"> </v>
      </c>
      <c r="BA24" s="30" t="str">
        <f>IF(Hoja1!AZ4+Hoja1!AZ5&lt;7," ",IF(Hoja1!AZ4&gt;=7,"Aprobado","Reprobado"))</f>
        <v xml:space="preserve"> </v>
      </c>
      <c r="BB24" s="30" t="str">
        <f>IF(Hoja1!BA4+Hoja1!BA5&lt;7," ",IF(Hoja1!BA4&gt;=7,"Aprobado","Reprobado"))</f>
        <v xml:space="preserve"> </v>
      </c>
      <c r="BC24" s="30" t="str">
        <f>IF(Hoja1!BB4+Hoja1!BB5&lt;7," ",IF(Hoja1!BB4&gt;=7,"Aprobado","Reprobado"))</f>
        <v xml:space="preserve"> </v>
      </c>
      <c r="BD24" s="30" t="str">
        <f>IF(Hoja1!BC4+Hoja1!BC5&lt;7," ",IF(Hoja1!BC4&gt;=7,"Aprobado","Reprobado"))</f>
        <v xml:space="preserve"> </v>
      </c>
      <c r="BE24" s="30" t="str">
        <f>IF(Hoja1!BD4+Hoja1!BD5&lt;7," ",IF(Hoja1!BD4&gt;=7,"Aprobado","Reprobado"))</f>
        <v xml:space="preserve"> </v>
      </c>
      <c r="BF24" s="30" t="str">
        <f>IF(Hoja1!BE4+Hoja1!BE5&lt;7," ",IF(Hoja1!BE4&gt;=7,"Aprobado","Reprobado"))</f>
        <v xml:space="preserve"> </v>
      </c>
      <c r="BG24" s="30" t="str">
        <f>IF(Hoja1!BF4+Hoja1!BF5&lt;7," ",IF(Hoja1!BF4&gt;=7,"Aprobado","Reprobado"))</f>
        <v xml:space="preserve"> </v>
      </c>
    </row>
    <row r="25" spans="1:59" ht="64.2" customHeight="1" x14ac:dyDescent="0.3">
      <c r="B25" s="29" t="s">
        <v>30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</row>
    <row r="26" spans="1:59" x14ac:dyDescent="0.3">
      <c r="B26" t="s">
        <v>31</v>
      </c>
    </row>
    <row r="27" spans="1:59" x14ac:dyDescent="0.3">
      <c r="B27" t="s">
        <v>32</v>
      </c>
    </row>
    <row r="29" spans="1:59" x14ac:dyDescent="0.3">
      <c r="B29" t="s">
        <v>35</v>
      </c>
    </row>
    <row r="30" spans="1:59" x14ac:dyDescent="0.3">
      <c r="B30" t="s">
        <v>36</v>
      </c>
    </row>
    <row r="31" spans="1:59" x14ac:dyDescent="0.3">
      <c r="B31" t="s">
        <v>37</v>
      </c>
    </row>
  </sheetData>
  <dataConsolidate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2055FDC-A4D0-4D24-9905-609E7B70FC84}">
            <xm:f>NOT(ISERROR(SEARCH("Reprobado",C24)))</xm:f>
            <xm:f>"Reprobado"</xm:f>
            <x14:dxf>
              <font>
                <color theme="1"/>
              </font>
              <fill>
                <patternFill patternType="solid">
                  <fgColor theme="0"/>
                  <bgColor rgb="FFFF0000"/>
                </patternFill>
              </fill>
            </x14:dxf>
          </x14:cfRule>
          <x14:cfRule type="containsText" priority="2" operator="containsText" id="{F9C9D30A-6F38-49EE-BCA6-993C40D51DF7}">
            <xm:f>NOT(ISERROR(SEARCH("Aprobado",C24)))</xm:f>
            <xm:f>"Aprobado"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C24:BG25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4EF9-E775-45F3-A93F-140A208B407C}">
  <dimension ref="A2:BG29"/>
  <sheetViews>
    <sheetView workbookViewId="0">
      <selection activeCell="B6" sqref="B6"/>
    </sheetView>
  </sheetViews>
  <sheetFormatPr baseColWidth="10" defaultRowHeight="14.4" x14ac:dyDescent="0.3"/>
  <cols>
    <col min="1" max="1" width="5.6640625" customWidth="1"/>
    <col min="2" max="2" width="45.21875" customWidth="1"/>
    <col min="3" max="3" width="24.6640625" customWidth="1"/>
    <col min="4" max="4" width="23.109375" customWidth="1"/>
    <col min="5" max="5" width="22.5546875" customWidth="1"/>
    <col min="6" max="6" width="22.77734375" customWidth="1"/>
    <col min="7" max="7" width="22.5546875" customWidth="1"/>
    <col min="8" max="8" width="19.88671875" customWidth="1"/>
    <col min="9" max="9" width="21" customWidth="1"/>
    <col min="10" max="10" width="20.109375" customWidth="1"/>
    <col min="11" max="11" width="19.88671875" customWidth="1"/>
    <col min="12" max="12" width="20.44140625" customWidth="1"/>
    <col min="13" max="13" width="20.6640625" customWidth="1"/>
    <col min="14" max="14" width="20.21875" customWidth="1"/>
    <col min="15" max="15" width="21.5546875" customWidth="1"/>
    <col min="16" max="16" width="20.77734375" customWidth="1"/>
    <col min="17" max="17" width="21.21875" customWidth="1"/>
    <col min="18" max="18" width="21.33203125" customWidth="1"/>
    <col min="19" max="19" width="20.44140625" customWidth="1"/>
    <col min="20" max="22" width="21.33203125" customWidth="1"/>
    <col min="23" max="23" width="19.88671875" customWidth="1"/>
    <col min="24" max="24" width="21.33203125" customWidth="1"/>
    <col min="25" max="25" width="21" customWidth="1"/>
    <col min="26" max="26" width="19.5546875" customWidth="1"/>
    <col min="27" max="27" width="21.21875" customWidth="1"/>
    <col min="28" max="28" width="21" customWidth="1"/>
    <col min="29" max="29" width="21.21875" customWidth="1"/>
    <col min="30" max="30" width="20.6640625" customWidth="1"/>
    <col min="31" max="31" width="21" customWidth="1"/>
    <col min="32" max="32" width="20.77734375" customWidth="1"/>
    <col min="33" max="33" width="20.21875" customWidth="1"/>
    <col min="34" max="34" width="22.109375" customWidth="1"/>
    <col min="35" max="35" width="19.5546875" customWidth="1"/>
    <col min="36" max="36" width="20.77734375" customWidth="1"/>
    <col min="37" max="37" width="21.33203125" customWidth="1"/>
    <col min="38" max="38" width="20.21875" customWidth="1"/>
    <col min="39" max="40" width="20.44140625" customWidth="1"/>
    <col min="41" max="41" width="20.6640625" customWidth="1"/>
    <col min="42" max="42" width="21.5546875" customWidth="1"/>
    <col min="43" max="43" width="21.21875" customWidth="1"/>
    <col min="44" max="45" width="20.44140625" customWidth="1"/>
    <col min="46" max="46" width="21" customWidth="1"/>
    <col min="47" max="47" width="21.21875" customWidth="1"/>
    <col min="48" max="48" width="20.6640625" customWidth="1"/>
    <col min="49" max="51" width="20.77734375" customWidth="1"/>
    <col min="52" max="52" width="21.33203125" customWidth="1"/>
    <col min="53" max="53" width="21" customWidth="1"/>
    <col min="54" max="54" width="21.33203125" customWidth="1"/>
    <col min="55" max="56" width="21" customWidth="1"/>
    <col min="57" max="57" width="20.6640625" customWidth="1"/>
    <col min="58" max="58" width="21.21875" customWidth="1"/>
    <col min="59" max="59" width="21.88671875" customWidth="1"/>
  </cols>
  <sheetData>
    <row r="2" spans="1:59" x14ac:dyDescent="0.3">
      <c r="B2" s="13" t="s">
        <v>15</v>
      </c>
    </row>
    <row r="3" spans="1:59" x14ac:dyDescent="0.3">
      <c r="B3" s="14" t="s">
        <v>16</v>
      </c>
      <c r="C3" s="14"/>
      <c r="D3" s="14"/>
      <c r="E3" s="14"/>
    </row>
    <row r="4" spans="1:59" s="32" customFormat="1" ht="15" thickBot="1" x14ac:dyDescent="0.35">
      <c r="B4" s="33"/>
      <c r="C4" s="33">
        <v>1</v>
      </c>
      <c r="D4" s="33">
        <v>2</v>
      </c>
      <c r="E4" s="33">
        <v>3</v>
      </c>
      <c r="F4" s="32">
        <v>4</v>
      </c>
      <c r="G4" s="33">
        <v>5</v>
      </c>
      <c r="H4" s="32">
        <v>6</v>
      </c>
      <c r="I4" s="33">
        <v>7</v>
      </c>
      <c r="J4" s="32">
        <v>8</v>
      </c>
      <c r="K4" s="33">
        <v>9</v>
      </c>
      <c r="L4" s="32">
        <v>10</v>
      </c>
      <c r="M4" s="33">
        <v>11</v>
      </c>
      <c r="N4" s="32">
        <v>12</v>
      </c>
      <c r="O4" s="33">
        <v>13</v>
      </c>
      <c r="P4" s="32">
        <v>14</v>
      </c>
      <c r="Q4" s="33">
        <v>15</v>
      </c>
      <c r="R4" s="32">
        <v>16</v>
      </c>
      <c r="S4" s="33">
        <v>17</v>
      </c>
      <c r="T4" s="32">
        <v>18</v>
      </c>
      <c r="U4" s="35">
        <v>19</v>
      </c>
      <c r="V4" s="32">
        <v>20</v>
      </c>
      <c r="W4" s="33">
        <v>21</v>
      </c>
      <c r="X4" s="33">
        <v>22</v>
      </c>
      <c r="Y4" s="32">
        <v>23</v>
      </c>
      <c r="Z4" s="33">
        <v>24</v>
      </c>
      <c r="AA4" s="33">
        <v>25</v>
      </c>
      <c r="AB4" s="32">
        <v>26</v>
      </c>
      <c r="AC4" s="33">
        <v>27</v>
      </c>
      <c r="AD4" s="33">
        <v>28</v>
      </c>
      <c r="AE4" s="32">
        <v>29</v>
      </c>
      <c r="AF4" s="33">
        <v>30</v>
      </c>
      <c r="AG4" s="33">
        <v>31</v>
      </c>
      <c r="AH4" s="32">
        <v>32</v>
      </c>
      <c r="AI4" s="33">
        <v>33</v>
      </c>
      <c r="AJ4" s="33">
        <v>34</v>
      </c>
      <c r="AK4" s="32">
        <v>35</v>
      </c>
      <c r="AL4" s="33">
        <v>36</v>
      </c>
      <c r="AM4" s="33">
        <v>37</v>
      </c>
      <c r="AN4" s="36">
        <v>38</v>
      </c>
      <c r="AO4" s="33">
        <v>39</v>
      </c>
      <c r="AP4" s="33">
        <v>40</v>
      </c>
      <c r="AQ4" s="32">
        <v>41</v>
      </c>
      <c r="AR4" s="33">
        <v>42</v>
      </c>
      <c r="AS4" s="33">
        <v>43</v>
      </c>
      <c r="AT4" s="32">
        <v>44</v>
      </c>
      <c r="AU4" s="33">
        <v>45</v>
      </c>
      <c r="AV4" s="33">
        <v>46</v>
      </c>
      <c r="AW4" s="32">
        <v>47</v>
      </c>
      <c r="AX4" s="33">
        <v>48</v>
      </c>
      <c r="AY4" s="33">
        <v>49</v>
      </c>
      <c r="AZ4" s="32">
        <v>50</v>
      </c>
      <c r="BA4" s="33">
        <v>51</v>
      </c>
      <c r="BB4" s="33">
        <v>52</v>
      </c>
      <c r="BC4" s="33">
        <v>53</v>
      </c>
      <c r="BD4" s="33">
        <v>54</v>
      </c>
      <c r="BE4" s="33">
        <v>55</v>
      </c>
      <c r="BF4" s="33">
        <v>56</v>
      </c>
      <c r="BG4" s="35">
        <v>57</v>
      </c>
    </row>
    <row r="5" spans="1:59" ht="22.5" customHeight="1" thickBot="1" x14ac:dyDescent="0.35">
      <c r="B5" s="9" t="s">
        <v>7</v>
      </c>
      <c r="C5" s="1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ht="20.25" customHeight="1" thickBot="1" x14ac:dyDescent="0.35">
      <c r="B6" s="37" t="s">
        <v>33</v>
      </c>
      <c r="C6" s="23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20.25" customHeight="1" thickBot="1" x14ac:dyDescent="0.35">
      <c r="B7" s="9" t="s">
        <v>34</v>
      </c>
      <c r="C7" s="20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20.25" customHeight="1" thickBot="1" x14ac:dyDescent="0.35">
      <c r="B8" s="9" t="s">
        <v>14</v>
      </c>
      <c r="C8" s="2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</row>
    <row r="9" spans="1:59" ht="29.4" customHeight="1" x14ac:dyDescent="0.3">
      <c r="B9" s="34" t="s">
        <v>25</v>
      </c>
      <c r="C9" s="22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ht="15.6" x14ac:dyDescent="0.3">
      <c r="A10">
        <v>1</v>
      </c>
      <c r="B10" s="24" t="s">
        <v>17</v>
      </c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</row>
    <row r="11" spans="1:59" ht="31.2" customHeight="1" x14ac:dyDescent="0.3">
      <c r="A11">
        <v>2</v>
      </c>
      <c r="B11" s="24" t="s">
        <v>18</v>
      </c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</row>
    <row r="12" spans="1:59" ht="32.25" customHeight="1" x14ac:dyDescent="0.3">
      <c r="A12">
        <v>3</v>
      </c>
      <c r="B12" s="24" t="s">
        <v>19</v>
      </c>
      <c r="C12" s="2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</row>
    <row r="13" spans="1:59" ht="29.4" customHeight="1" x14ac:dyDescent="0.3">
      <c r="A13">
        <v>4</v>
      </c>
      <c r="B13" s="24" t="s">
        <v>20</v>
      </c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</row>
    <row r="14" spans="1:59" ht="30" customHeight="1" x14ac:dyDescent="0.3">
      <c r="A14">
        <v>5</v>
      </c>
      <c r="B14" s="24" t="s">
        <v>21</v>
      </c>
      <c r="C14" s="25"/>
      <c r="D14" s="16"/>
      <c r="E14" s="16"/>
      <c r="F14" s="17"/>
      <c r="G14" s="16"/>
      <c r="H14" s="17"/>
      <c r="I14" s="16"/>
      <c r="J14" s="17"/>
      <c r="K14" s="16"/>
      <c r="L14" s="17"/>
      <c r="M14" s="16"/>
      <c r="N14" s="17"/>
      <c r="O14" s="16"/>
      <c r="P14" s="17"/>
      <c r="Q14" s="16"/>
      <c r="R14" s="17"/>
      <c r="S14" s="16"/>
      <c r="T14" s="17"/>
      <c r="U14" s="16"/>
      <c r="V14" s="17"/>
      <c r="W14" s="16"/>
      <c r="X14" s="17"/>
      <c r="Y14" s="16"/>
      <c r="Z14" s="17"/>
      <c r="AA14" s="1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</row>
    <row r="15" spans="1:59" ht="30" customHeight="1" x14ac:dyDescent="0.3">
      <c r="A15">
        <v>6</v>
      </c>
      <c r="B15" s="24" t="s">
        <v>22</v>
      </c>
      <c r="C15" s="25"/>
      <c r="D15" s="16"/>
      <c r="E15" s="16"/>
      <c r="F15" s="17"/>
      <c r="G15" s="16"/>
      <c r="H15" s="17"/>
      <c r="I15" s="16"/>
      <c r="J15" s="17"/>
      <c r="K15" s="16"/>
      <c r="L15" s="17"/>
      <c r="M15" s="16"/>
      <c r="N15" s="17"/>
      <c r="O15" s="16"/>
      <c r="P15" s="17"/>
      <c r="Q15" s="16"/>
      <c r="R15" s="17"/>
      <c r="S15" s="16"/>
      <c r="T15" s="17"/>
      <c r="U15" s="16"/>
      <c r="V15" s="17"/>
      <c r="W15" s="16"/>
      <c r="X15" s="17"/>
      <c r="Y15" s="16"/>
      <c r="Z15" s="17"/>
      <c r="AA15" s="1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</row>
    <row r="16" spans="1:59" ht="33.6" customHeight="1" x14ac:dyDescent="0.3">
      <c r="A16">
        <v>7</v>
      </c>
      <c r="B16" s="24" t="s">
        <v>23</v>
      </c>
      <c r="C16" s="25"/>
      <c r="D16" s="16"/>
      <c r="E16" s="16"/>
      <c r="F16" s="17"/>
      <c r="G16" s="16"/>
      <c r="H16" s="17"/>
      <c r="I16" s="16"/>
      <c r="J16" s="17"/>
      <c r="K16" s="16"/>
      <c r="L16" s="17"/>
      <c r="M16" s="16"/>
      <c r="N16" s="17"/>
      <c r="O16" s="16"/>
      <c r="P16" s="17"/>
      <c r="Q16" s="16"/>
      <c r="R16" s="17"/>
      <c r="S16" s="16"/>
      <c r="T16" s="17"/>
      <c r="U16" s="16"/>
      <c r="V16" s="17"/>
      <c r="W16" s="16"/>
      <c r="X16" s="17"/>
      <c r="Y16" s="16"/>
      <c r="Z16" s="17"/>
      <c r="AA16" s="1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</row>
    <row r="17" spans="1:59" ht="36" customHeight="1" x14ac:dyDescent="0.3">
      <c r="A17">
        <v>8</v>
      </c>
      <c r="B17" s="24" t="s">
        <v>24</v>
      </c>
      <c r="C17" s="2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</row>
    <row r="18" spans="1:59" ht="36" customHeight="1" x14ac:dyDescent="0.3">
      <c r="A18">
        <v>9</v>
      </c>
      <c r="B18" s="26" t="s">
        <v>26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</row>
    <row r="19" spans="1:59" ht="36" customHeight="1" x14ac:dyDescent="0.3">
      <c r="A19">
        <v>10</v>
      </c>
      <c r="B19" s="31" t="s">
        <v>27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</row>
    <row r="20" spans="1:59" ht="36" customHeight="1" x14ac:dyDescent="0.3">
      <c r="A20">
        <v>11</v>
      </c>
      <c r="B20" s="26" t="s">
        <v>28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</row>
    <row r="21" spans="1:59" ht="36" customHeight="1" x14ac:dyDescent="0.3">
      <c r="A21">
        <v>12</v>
      </c>
      <c r="B21" s="27" t="s">
        <v>29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</row>
    <row r="22" spans="1:59" ht="21" customHeight="1" x14ac:dyDescent="0.3">
      <c r="B22" s="15" t="s">
        <v>13</v>
      </c>
      <c r="C22" s="18" t="str">
        <f>IF(Hoja1!B4+Hoja1!B5&lt;7," ",IF(Hoja1!B4=7,"Aprobado","Reprobado"))</f>
        <v xml:space="preserve"> </v>
      </c>
      <c r="D22" s="18" t="str">
        <f>IF(Hoja1!C4+Hoja1!C5&lt;7," ",IF(Hoja1!C4&gt;=7,"Aprobado","Reprobado"))</f>
        <v xml:space="preserve"> </v>
      </c>
      <c r="E22" s="18" t="str">
        <f>IF(Hoja1!D4+Hoja1!D5&lt;7," ",IF(Hoja1!D4&gt;=7,"Aprobado","Reprobado"))</f>
        <v xml:space="preserve"> </v>
      </c>
      <c r="F22" s="18" t="str">
        <f>IF(Hoja1!E4+Hoja1!E5&lt;7," ",IF(Hoja1!E4&gt;=7,"Aprobado","Reprobado"))</f>
        <v xml:space="preserve"> </v>
      </c>
      <c r="G22" s="30" t="e">
        <f>IF(Hoja1!F4+Hoja1!F5&lt;7," ",IF(Hoja1!F4&gt;=7,"Aprobado","Reprobado"))</f>
        <v>#REF!</v>
      </c>
      <c r="H22" s="30" t="e">
        <f>IF(Hoja1!G4+Hoja1!G5&lt;7," ",IF(Hoja1!G4&gt;=7,"Aprobado","Reprobado"))</f>
        <v>#REF!</v>
      </c>
      <c r="I22" s="30" t="e">
        <f>IF(Hoja1!H4+Hoja1!H5&lt;7," ",IF(Hoja1!H4&gt;=7,"Aprobado","Reprobado"))</f>
        <v>#REF!</v>
      </c>
      <c r="J22" s="30" t="e">
        <f>IF(Hoja1!I4+Hoja1!I5&lt;7," ",IF(Hoja1!I4&gt;=7,"Aprobado","Reprobado"))</f>
        <v>#REF!</v>
      </c>
      <c r="K22" s="30" t="e">
        <f>IF(Hoja1!J4+Hoja1!J5&lt;7," ",IF(Hoja1!J4&gt;=7,"Aprobado","Reprobado"))</f>
        <v>#REF!</v>
      </c>
      <c r="L22" s="30" t="e">
        <f>IF(Hoja1!K4+Hoja1!K5&lt;7," ",IF(Hoja1!K4&gt;=7,"Aprobado","Reprobado"))</f>
        <v>#REF!</v>
      </c>
      <c r="M22" s="30" t="e">
        <f>IF(Hoja1!L4+Hoja1!L5&lt;7," ",IF(Hoja1!L4&gt;=7,"Aprobado","Reprobado"))</f>
        <v>#REF!</v>
      </c>
      <c r="N22" s="30" t="e">
        <f>IF(Hoja1!M4+Hoja1!M5&lt;7," ",IF(Hoja1!M4&gt;=7,"Aprobado","Reprobado"))</f>
        <v>#REF!</v>
      </c>
      <c r="O22" s="30" t="e">
        <f>IF(Hoja1!N4+Hoja1!N5&lt;7," ",IF(Hoja1!N4&gt;=7,"Aprobado","Reprobado"))</f>
        <v>#REF!</v>
      </c>
      <c r="P22" s="30" t="e">
        <f>IF(Hoja1!O4+Hoja1!O5&lt;7," ",IF(Hoja1!O4&gt;=7,"Aprobado","Reprobado"))</f>
        <v>#REF!</v>
      </c>
      <c r="Q22" s="30" t="e">
        <f>IF(Hoja1!P4+Hoja1!P5&lt;7," ",IF(Hoja1!P4&gt;=7,"Aprobado","Reprobado"))</f>
        <v>#REF!</v>
      </c>
      <c r="R22" s="30" t="e">
        <f>IF(Hoja1!Q4+Hoja1!Q5&lt;7," ",IF(Hoja1!Q4&gt;=7,"Aprobado","Reprobado"))</f>
        <v>#REF!</v>
      </c>
      <c r="S22" s="30" t="e">
        <f>IF(Hoja1!R4+Hoja1!R5&lt;7," ",IF(Hoja1!R4&gt;=7,"Aprobado","Reprobado"))</f>
        <v>#REF!</v>
      </c>
      <c r="T22" s="30" t="e">
        <f>IF(Hoja1!S4+Hoja1!S5&lt;7," ",IF(Hoja1!S4&gt;=7,"Aprobado","Reprobado"))</f>
        <v>#REF!</v>
      </c>
      <c r="U22" s="30" t="e">
        <f>IF(Hoja1!T4+Hoja1!T5&lt;7," ",IF(Hoja1!T4&gt;=7,"Aprobado","Reprobado"))</f>
        <v>#REF!</v>
      </c>
      <c r="V22" s="30" t="e">
        <f>IF(Hoja1!U4+Hoja1!U5&lt;7," ",IF(Hoja1!U4&gt;=7,"Aprobado","Reprobado"))</f>
        <v>#REF!</v>
      </c>
      <c r="W22" s="30" t="e">
        <f>IF(Hoja1!V4+Hoja1!V5&lt;7," ",IF(Hoja1!V4&gt;=7,"Aprobado","Reprobado"))</f>
        <v>#REF!</v>
      </c>
      <c r="X22" s="30" t="e">
        <f>IF(Hoja1!W4+Hoja1!W5&lt;7," ",IF(Hoja1!W4&gt;=7,"Aprobado","Reprobado"))</f>
        <v>#REF!</v>
      </c>
      <c r="Y22" s="30" t="e">
        <f>IF(Hoja1!X4+Hoja1!X5&lt;7," ",IF(Hoja1!X4&gt;=7,"Aprobado","Reprobado"))</f>
        <v>#REF!</v>
      </c>
      <c r="Z22" s="30" t="e">
        <f>IF(Hoja1!Y4+Hoja1!Y5&lt;7," ",IF(Hoja1!Y4&gt;=7,"Aprobado","Reprobado"))</f>
        <v>#REF!</v>
      </c>
      <c r="AA22" s="30" t="e">
        <f>IF(Hoja1!Z4+Hoja1!Z5&lt;7," ",IF(Hoja1!Z4&gt;=7,"Aprobado","Reprobado"))</f>
        <v>#REF!</v>
      </c>
      <c r="AB22" s="30" t="e">
        <f>IF(Hoja1!AA4+Hoja1!AA5&lt;7," ",IF(Hoja1!AA4&gt;=7,"Aprobado","Reprobado"))</f>
        <v>#REF!</v>
      </c>
      <c r="AC22" s="30" t="e">
        <f>IF(Hoja1!AB4+Hoja1!AB5&lt;7," ",IF(Hoja1!AB4&gt;=7,"Aprobado","Reprobado"))</f>
        <v>#REF!</v>
      </c>
      <c r="AD22" s="30" t="e">
        <f>IF(Hoja1!AC4+Hoja1!AC5&lt;7," ",IF(Hoja1!AC4&gt;=7,"Aprobado","Reprobado"))</f>
        <v>#REF!</v>
      </c>
      <c r="AE22" s="30" t="e">
        <f>IF(Hoja1!AD4+Hoja1!AD5&lt;7," ",IF(Hoja1!AD4&gt;=7,"Aprobado","Reprobado"))</f>
        <v>#REF!</v>
      </c>
      <c r="AF22" s="30" t="e">
        <f>IF(Hoja1!AE4+Hoja1!AE5&lt;7," ",IF(Hoja1!AE4&gt;=7,"Aprobado","Reprobado"))</f>
        <v>#REF!</v>
      </c>
      <c r="AG22" s="30" t="e">
        <f>IF(Hoja1!AF4+Hoja1!AF5&lt;7," ",IF(Hoja1!AF4&gt;=7,"Aprobado","Reprobado"))</f>
        <v>#REF!</v>
      </c>
      <c r="AH22" s="30" t="e">
        <f>IF(Hoja1!AG4+Hoja1!AG5&lt;7," ",IF(Hoja1!AG4&gt;=7,"Aprobado","Reprobado"))</f>
        <v>#REF!</v>
      </c>
      <c r="AI22" s="30" t="e">
        <f>IF(Hoja1!AH4+Hoja1!AH5&lt;7," ",IF(Hoja1!AH4&gt;=7,"Aprobado","Reprobado"))</f>
        <v>#REF!</v>
      </c>
      <c r="AJ22" s="30" t="e">
        <f>IF(Hoja1!AI4+Hoja1!AI5&lt;7," ",IF(Hoja1!AI4&gt;=7,"Aprobado","Reprobado"))</f>
        <v>#REF!</v>
      </c>
      <c r="AK22" s="30" t="e">
        <f>IF(Hoja1!AJ4+Hoja1!AJ5&lt;7," ",IF(Hoja1!AJ4&gt;=7,"Aprobado","Reprobado"))</f>
        <v>#REF!</v>
      </c>
      <c r="AL22" s="30" t="e">
        <f>IF(Hoja1!AK4+Hoja1!AK5&lt;7," ",IF(Hoja1!AK4&gt;=7,"Aprobado","Reprobado"))</f>
        <v>#REF!</v>
      </c>
      <c r="AM22" s="30" t="e">
        <f>IF(Hoja1!AL4+Hoja1!AL5&lt;7," ",IF(Hoja1!AL4&gt;=7,"Aprobado","Reprobado"))</f>
        <v>#REF!</v>
      </c>
      <c r="AN22" s="30" t="str">
        <f>IF(Hoja1!AM4+Hoja1!AM5&lt;7," ",IF(Hoja1!AM4&gt;=7,"Aprobado","Reprobado"))</f>
        <v xml:space="preserve"> </v>
      </c>
      <c r="AO22" s="30" t="str">
        <f>IF(Hoja1!AN4+Hoja1!AN5&lt;7," ",IF(Hoja1!AN4&gt;=7,"Aprobado","Reprobado"))</f>
        <v xml:space="preserve"> </v>
      </c>
      <c r="AP22" s="30" t="str">
        <f>IF(Hoja1!AO4+Hoja1!AO5&lt;7," ",IF(Hoja1!AO4&gt;=7,"Aprobado","Reprobado"))</f>
        <v xml:space="preserve"> </v>
      </c>
      <c r="AQ22" s="30" t="str">
        <f>IF(Hoja1!AP4+Hoja1!AP5&lt;7," ",IF(Hoja1!AP4&gt;=7,"Aprobado","Reprobado"))</f>
        <v xml:space="preserve"> </v>
      </c>
      <c r="AR22" s="30" t="str">
        <f>IF(Hoja1!AQ4+Hoja1!AQ5&lt;7," ",IF(Hoja1!AQ4&gt;=7,"Aprobado","Reprobado"))</f>
        <v xml:space="preserve"> </v>
      </c>
      <c r="AS22" s="30" t="str">
        <f>IF(Hoja1!AR4+Hoja1!AR5&lt;7," ",IF(Hoja1!AR4&gt;=7,"Aprobado","Reprobado"))</f>
        <v xml:space="preserve"> </v>
      </c>
      <c r="AT22" s="30" t="str">
        <f>IF(Hoja1!AS4+Hoja1!AS5&lt;7," ",IF(Hoja1!AS4&gt;=7,"Aprobado","Reprobado"))</f>
        <v xml:space="preserve"> </v>
      </c>
      <c r="AU22" s="30" t="str">
        <f>IF(Hoja1!AT4+Hoja1!AT5&lt;7," ",IF(Hoja1!AT4&gt;=7,"Aprobado","Reprobado"))</f>
        <v xml:space="preserve"> </v>
      </c>
      <c r="AV22" s="30" t="str">
        <f>IF(Hoja1!AU4+Hoja1!AU5&lt;7," ",IF(Hoja1!AU4&gt;=7,"Aprobado","Reprobado"))</f>
        <v xml:space="preserve"> </v>
      </c>
      <c r="AW22" s="30" t="str">
        <f>IF(Hoja1!AV4+Hoja1!AV5&lt;7," ",IF(Hoja1!AV4&gt;=7,"Aprobado","Reprobado"))</f>
        <v xml:space="preserve"> </v>
      </c>
      <c r="AX22" s="30" t="str">
        <f>IF(Hoja1!AW4+Hoja1!AW5&lt;7," ",IF(Hoja1!AW4&gt;=7,"Aprobado","Reprobado"))</f>
        <v xml:space="preserve"> </v>
      </c>
      <c r="AY22" s="30" t="str">
        <f>IF(Hoja1!AX4+Hoja1!AX5&lt;7," ",IF(Hoja1!AX4&gt;=7,"Aprobado","Reprobado"))</f>
        <v xml:space="preserve"> </v>
      </c>
      <c r="AZ22" s="30" t="str">
        <f>IF(Hoja1!AY4+Hoja1!AY5&lt;7," ",IF(Hoja1!AY4&gt;=7,"Aprobado","Reprobado"))</f>
        <v xml:space="preserve"> </v>
      </c>
      <c r="BA22" s="30" t="str">
        <f>IF(Hoja1!AZ4+Hoja1!AZ5&lt;7," ",IF(Hoja1!AZ4&gt;=7,"Aprobado","Reprobado"))</f>
        <v xml:space="preserve"> </v>
      </c>
      <c r="BB22" s="30" t="str">
        <f>IF(Hoja1!BA4+Hoja1!BA5&lt;7," ",IF(Hoja1!BA4&gt;=7,"Aprobado","Reprobado"))</f>
        <v xml:space="preserve"> </v>
      </c>
      <c r="BC22" s="30" t="str">
        <f>IF(Hoja1!BB4+Hoja1!BB5&lt;7," ",IF(Hoja1!BB4&gt;=7,"Aprobado","Reprobado"))</f>
        <v xml:space="preserve"> </v>
      </c>
      <c r="BD22" s="30" t="str">
        <f>IF(Hoja1!BC4+Hoja1!BC5&lt;7," ",IF(Hoja1!BC4&gt;=7,"Aprobado","Reprobado"))</f>
        <v xml:space="preserve"> </v>
      </c>
      <c r="BE22" s="30" t="str">
        <f>IF(Hoja1!BD4+Hoja1!BD5&lt;7," ",IF(Hoja1!BD4&gt;=7,"Aprobado","Reprobado"))</f>
        <v xml:space="preserve"> </v>
      </c>
      <c r="BF22" s="30" t="str">
        <f>IF(Hoja1!BE4+Hoja1!BE5&lt;7," ",IF(Hoja1!BE4&gt;=7,"Aprobado","Reprobado"))</f>
        <v xml:space="preserve"> </v>
      </c>
      <c r="BG22" s="30" t="str">
        <f>IF(Hoja1!BF4+Hoja1!BF5&lt;7," ",IF(Hoja1!BF4&gt;=7,"Aprobado","Reprobado"))</f>
        <v xml:space="preserve"> </v>
      </c>
    </row>
    <row r="23" spans="1:59" ht="64.2" customHeight="1" x14ac:dyDescent="0.3">
      <c r="B23" s="29" t="s">
        <v>30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</row>
    <row r="24" spans="1:59" x14ac:dyDescent="0.3">
      <c r="B24" t="s">
        <v>31</v>
      </c>
    </row>
    <row r="25" spans="1:59" x14ac:dyDescent="0.3">
      <c r="B25" t="s">
        <v>32</v>
      </c>
    </row>
    <row r="27" spans="1:59" x14ac:dyDescent="0.3">
      <c r="B27" t="s">
        <v>35</v>
      </c>
    </row>
    <row r="28" spans="1:59" x14ac:dyDescent="0.3">
      <c r="B28" t="s">
        <v>36</v>
      </c>
    </row>
    <row r="29" spans="1:59" x14ac:dyDescent="0.3">
      <c r="B29" t="s">
        <v>37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B97AA9D-4567-4454-A30D-0D444012A52B}">
            <xm:f>NOT(ISERROR(SEARCH("Reprobado",C22)))</xm:f>
            <xm:f>"Reprobado"</xm:f>
            <x14:dxf>
              <font>
                <color theme="1"/>
              </font>
              <fill>
                <patternFill patternType="solid">
                  <fgColor theme="0"/>
                  <bgColor rgb="FFFF0000"/>
                </patternFill>
              </fill>
            </x14:dxf>
          </x14:cfRule>
          <x14:cfRule type="containsText" priority="2" operator="containsText" id="{B91FFF60-EC94-4A30-9798-08AE35413B2B}">
            <xm:f>NOT(ISERROR(SEARCH("Aprobado",C22)))</xm:f>
            <xm:f>"Aprobado"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C22:BG23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9BF57-5A5C-417C-AC1B-7CB9EA71AD53}">
  <dimension ref="A2:BG29"/>
  <sheetViews>
    <sheetView workbookViewId="0">
      <selection sqref="A1:XFD1048576"/>
    </sheetView>
  </sheetViews>
  <sheetFormatPr baseColWidth="10" defaultRowHeight="14.4" x14ac:dyDescent="0.3"/>
  <cols>
    <col min="1" max="1" width="5.6640625" customWidth="1"/>
    <col min="2" max="2" width="45.21875" customWidth="1"/>
    <col min="3" max="3" width="24.6640625" customWidth="1"/>
    <col min="4" max="4" width="23.109375" customWidth="1"/>
    <col min="5" max="5" width="22.5546875" customWidth="1"/>
    <col min="6" max="6" width="22.77734375" customWidth="1"/>
    <col min="7" max="7" width="22.5546875" customWidth="1"/>
    <col min="8" max="8" width="19.88671875" customWidth="1"/>
    <col min="9" max="9" width="21" customWidth="1"/>
    <col min="10" max="10" width="20.109375" customWidth="1"/>
    <col min="11" max="11" width="19.88671875" customWidth="1"/>
    <col min="12" max="12" width="20.44140625" customWidth="1"/>
    <col min="13" max="13" width="20.6640625" customWidth="1"/>
    <col min="14" max="14" width="20.21875" customWidth="1"/>
    <col min="15" max="15" width="21.5546875" customWidth="1"/>
    <col min="16" max="16" width="20.77734375" customWidth="1"/>
    <col min="17" max="17" width="21.21875" customWidth="1"/>
    <col min="18" max="18" width="21.33203125" customWidth="1"/>
    <col min="19" max="19" width="20.44140625" customWidth="1"/>
    <col min="20" max="22" width="21.33203125" customWidth="1"/>
    <col min="23" max="23" width="19.88671875" customWidth="1"/>
    <col min="24" max="24" width="21.33203125" customWidth="1"/>
    <col min="25" max="25" width="21" customWidth="1"/>
    <col min="26" max="26" width="19.5546875" customWidth="1"/>
    <col min="27" max="27" width="21.21875" customWidth="1"/>
    <col min="28" max="28" width="21" customWidth="1"/>
    <col min="29" max="29" width="21.21875" customWidth="1"/>
    <col min="30" max="30" width="20.6640625" customWidth="1"/>
    <col min="31" max="31" width="21" customWidth="1"/>
    <col min="32" max="32" width="20.77734375" customWidth="1"/>
    <col min="33" max="33" width="20.21875" customWidth="1"/>
    <col min="34" max="34" width="22.109375" customWidth="1"/>
    <col min="35" max="35" width="19.5546875" customWidth="1"/>
    <col min="36" max="36" width="20.77734375" customWidth="1"/>
    <col min="37" max="37" width="21.33203125" customWidth="1"/>
    <col min="38" max="38" width="20.21875" customWidth="1"/>
    <col min="39" max="40" width="20.44140625" customWidth="1"/>
    <col min="41" max="41" width="20.6640625" customWidth="1"/>
    <col min="42" max="42" width="21.5546875" customWidth="1"/>
    <col min="43" max="43" width="21.21875" customWidth="1"/>
    <col min="44" max="45" width="20.44140625" customWidth="1"/>
    <col min="46" max="46" width="21" customWidth="1"/>
    <col min="47" max="47" width="21.21875" customWidth="1"/>
    <col min="48" max="48" width="20.6640625" customWidth="1"/>
    <col min="49" max="51" width="20.77734375" customWidth="1"/>
    <col min="52" max="52" width="21.33203125" customWidth="1"/>
    <col min="53" max="53" width="21" customWidth="1"/>
    <col min="54" max="54" width="21.33203125" customWidth="1"/>
    <col min="55" max="56" width="21" customWidth="1"/>
    <col min="57" max="57" width="20.6640625" customWidth="1"/>
    <col min="58" max="58" width="21.21875" customWidth="1"/>
    <col min="59" max="59" width="21.88671875" customWidth="1"/>
  </cols>
  <sheetData>
    <row r="2" spans="1:59" x14ac:dyDescent="0.3">
      <c r="B2" s="13" t="s">
        <v>15</v>
      </c>
    </row>
    <row r="3" spans="1:59" x14ac:dyDescent="0.3">
      <c r="B3" s="14" t="s">
        <v>16</v>
      </c>
      <c r="C3" s="14"/>
      <c r="D3" s="14"/>
      <c r="E3" s="14"/>
    </row>
    <row r="4" spans="1:59" s="32" customFormat="1" ht="15" thickBot="1" x14ac:dyDescent="0.35">
      <c r="B4" s="33"/>
      <c r="C4" s="33">
        <v>1</v>
      </c>
      <c r="D4" s="33">
        <v>2</v>
      </c>
      <c r="E4" s="33">
        <v>3</v>
      </c>
      <c r="F4" s="32">
        <v>4</v>
      </c>
      <c r="G4" s="33">
        <v>5</v>
      </c>
      <c r="H4" s="32">
        <v>6</v>
      </c>
      <c r="I4" s="33">
        <v>7</v>
      </c>
      <c r="J4" s="32">
        <v>8</v>
      </c>
      <c r="K4" s="33">
        <v>9</v>
      </c>
      <c r="L4" s="32">
        <v>10</v>
      </c>
      <c r="M4" s="33">
        <v>11</v>
      </c>
      <c r="N4" s="32">
        <v>12</v>
      </c>
      <c r="O4" s="33">
        <v>13</v>
      </c>
      <c r="P4" s="32">
        <v>14</v>
      </c>
      <c r="Q4" s="33">
        <v>15</v>
      </c>
      <c r="R4" s="32">
        <v>16</v>
      </c>
      <c r="S4" s="33">
        <v>17</v>
      </c>
      <c r="T4" s="32">
        <v>18</v>
      </c>
      <c r="U4" s="35">
        <v>19</v>
      </c>
      <c r="V4" s="32">
        <v>20</v>
      </c>
      <c r="W4" s="33">
        <v>21</v>
      </c>
      <c r="X4" s="33">
        <v>22</v>
      </c>
      <c r="Y4" s="32">
        <v>23</v>
      </c>
      <c r="Z4" s="33">
        <v>24</v>
      </c>
      <c r="AA4" s="33">
        <v>25</v>
      </c>
      <c r="AB4" s="32">
        <v>26</v>
      </c>
      <c r="AC4" s="33">
        <v>27</v>
      </c>
      <c r="AD4" s="33">
        <v>28</v>
      </c>
      <c r="AE4" s="32">
        <v>29</v>
      </c>
      <c r="AF4" s="33">
        <v>30</v>
      </c>
      <c r="AG4" s="33">
        <v>31</v>
      </c>
      <c r="AH4" s="32">
        <v>32</v>
      </c>
      <c r="AI4" s="33">
        <v>33</v>
      </c>
      <c r="AJ4" s="33">
        <v>34</v>
      </c>
      <c r="AK4" s="32">
        <v>35</v>
      </c>
      <c r="AL4" s="33">
        <v>36</v>
      </c>
      <c r="AM4" s="33">
        <v>37</v>
      </c>
      <c r="AN4" s="36">
        <v>38</v>
      </c>
      <c r="AO4" s="33">
        <v>39</v>
      </c>
      <c r="AP4" s="33">
        <v>40</v>
      </c>
      <c r="AQ4" s="32">
        <v>41</v>
      </c>
      <c r="AR4" s="33">
        <v>42</v>
      </c>
      <c r="AS4" s="33">
        <v>43</v>
      </c>
      <c r="AT4" s="32">
        <v>44</v>
      </c>
      <c r="AU4" s="33">
        <v>45</v>
      </c>
      <c r="AV4" s="33">
        <v>46</v>
      </c>
      <c r="AW4" s="32">
        <v>47</v>
      </c>
      <c r="AX4" s="33">
        <v>48</v>
      </c>
      <c r="AY4" s="33">
        <v>49</v>
      </c>
      <c r="AZ4" s="32">
        <v>50</v>
      </c>
      <c r="BA4" s="33">
        <v>51</v>
      </c>
      <c r="BB4" s="33">
        <v>52</v>
      </c>
      <c r="BC4" s="33">
        <v>53</v>
      </c>
      <c r="BD4" s="33">
        <v>54</v>
      </c>
      <c r="BE4" s="33">
        <v>55</v>
      </c>
      <c r="BF4" s="33">
        <v>56</v>
      </c>
      <c r="BG4" s="35">
        <v>57</v>
      </c>
    </row>
    <row r="5" spans="1:59" ht="22.5" customHeight="1" thickBot="1" x14ac:dyDescent="0.35">
      <c r="B5" s="9" t="s">
        <v>7</v>
      </c>
      <c r="C5" s="1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ht="20.25" customHeight="1" thickBot="1" x14ac:dyDescent="0.35">
      <c r="B6" s="10" t="s">
        <v>33</v>
      </c>
      <c r="C6" s="23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20.25" customHeight="1" thickBot="1" x14ac:dyDescent="0.35">
      <c r="B7" s="9" t="s">
        <v>34</v>
      </c>
      <c r="C7" s="20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20.25" customHeight="1" thickBot="1" x14ac:dyDescent="0.35">
      <c r="B8" s="9" t="s">
        <v>14</v>
      </c>
      <c r="C8" s="2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</row>
    <row r="9" spans="1:59" ht="29.4" customHeight="1" x14ac:dyDescent="0.3">
      <c r="B9" s="34" t="s">
        <v>25</v>
      </c>
      <c r="C9" s="22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ht="15.6" x14ac:dyDescent="0.3">
      <c r="A10">
        <v>1</v>
      </c>
      <c r="B10" s="24" t="s">
        <v>17</v>
      </c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</row>
    <row r="11" spans="1:59" ht="31.2" customHeight="1" x14ac:dyDescent="0.3">
      <c r="A11">
        <v>2</v>
      </c>
      <c r="B11" s="24" t="s">
        <v>18</v>
      </c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</row>
    <row r="12" spans="1:59" ht="32.25" customHeight="1" x14ac:dyDescent="0.3">
      <c r="A12">
        <v>3</v>
      </c>
      <c r="B12" s="24" t="s">
        <v>19</v>
      </c>
      <c r="C12" s="2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</row>
    <row r="13" spans="1:59" ht="29.4" customHeight="1" x14ac:dyDescent="0.3">
      <c r="A13">
        <v>4</v>
      </c>
      <c r="B13" s="24" t="s">
        <v>20</v>
      </c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</row>
    <row r="14" spans="1:59" ht="30" customHeight="1" x14ac:dyDescent="0.3">
      <c r="A14">
        <v>5</v>
      </c>
      <c r="B14" s="24" t="s">
        <v>21</v>
      </c>
      <c r="C14" s="25"/>
      <c r="D14" s="16"/>
      <c r="E14" s="16"/>
      <c r="F14" s="17"/>
      <c r="G14" s="16"/>
      <c r="H14" s="17"/>
      <c r="I14" s="16"/>
      <c r="J14" s="17"/>
      <c r="K14" s="16"/>
      <c r="L14" s="17"/>
      <c r="M14" s="16"/>
      <c r="N14" s="17"/>
      <c r="O14" s="16"/>
      <c r="P14" s="17"/>
      <c r="Q14" s="16"/>
      <c r="R14" s="17"/>
      <c r="S14" s="16"/>
      <c r="T14" s="17"/>
      <c r="U14" s="16"/>
      <c r="V14" s="17"/>
      <c r="W14" s="16"/>
      <c r="X14" s="17"/>
      <c r="Y14" s="16"/>
      <c r="Z14" s="17"/>
      <c r="AA14" s="1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</row>
    <row r="15" spans="1:59" ht="30" customHeight="1" x14ac:dyDescent="0.3">
      <c r="A15">
        <v>6</v>
      </c>
      <c r="B15" s="24" t="s">
        <v>22</v>
      </c>
      <c r="C15" s="25"/>
      <c r="D15" s="16"/>
      <c r="E15" s="16"/>
      <c r="F15" s="17"/>
      <c r="G15" s="16"/>
      <c r="H15" s="17"/>
      <c r="I15" s="16"/>
      <c r="J15" s="17"/>
      <c r="K15" s="16"/>
      <c r="L15" s="17"/>
      <c r="M15" s="16"/>
      <c r="N15" s="17"/>
      <c r="O15" s="16"/>
      <c r="P15" s="17"/>
      <c r="Q15" s="16"/>
      <c r="R15" s="17"/>
      <c r="S15" s="16"/>
      <c r="T15" s="17"/>
      <c r="U15" s="16"/>
      <c r="V15" s="17"/>
      <c r="W15" s="16"/>
      <c r="X15" s="17"/>
      <c r="Y15" s="16"/>
      <c r="Z15" s="17"/>
      <c r="AA15" s="1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</row>
    <row r="16" spans="1:59" ht="33.6" customHeight="1" x14ac:dyDescent="0.3">
      <c r="A16">
        <v>7</v>
      </c>
      <c r="B16" s="24" t="s">
        <v>23</v>
      </c>
      <c r="C16" s="25"/>
      <c r="D16" s="16"/>
      <c r="E16" s="16"/>
      <c r="F16" s="17"/>
      <c r="G16" s="16"/>
      <c r="H16" s="17"/>
      <c r="I16" s="16"/>
      <c r="J16" s="17"/>
      <c r="K16" s="16"/>
      <c r="L16" s="17"/>
      <c r="M16" s="16"/>
      <c r="N16" s="17"/>
      <c r="O16" s="16"/>
      <c r="P16" s="17"/>
      <c r="Q16" s="16"/>
      <c r="R16" s="17"/>
      <c r="S16" s="16"/>
      <c r="T16" s="17"/>
      <c r="U16" s="16"/>
      <c r="V16" s="17"/>
      <c r="W16" s="16"/>
      <c r="X16" s="17"/>
      <c r="Y16" s="16"/>
      <c r="Z16" s="17"/>
      <c r="AA16" s="1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</row>
    <row r="17" spans="1:59" ht="36" customHeight="1" x14ac:dyDescent="0.3">
      <c r="A17">
        <v>8</v>
      </c>
      <c r="B17" s="24" t="s">
        <v>24</v>
      </c>
      <c r="C17" s="2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</row>
    <row r="18" spans="1:59" ht="36" customHeight="1" x14ac:dyDescent="0.3">
      <c r="A18">
        <v>9</v>
      </c>
      <c r="B18" s="26" t="s">
        <v>26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</row>
    <row r="19" spans="1:59" ht="36" customHeight="1" x14ac:dyDescent="0.3">
      <c r="A19">
        <v>10</v>
      </c>
      <c r="B19" s="31" t="s">
        <v>27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</row>
    <row r="20" spans="1:59" ht="36" customHeight="1" x14ac:dyDescent="0.3">
      <c r="A20">
        <v>11</v>
      </c>
      <c r="B20" s="26" t="s">
        <v>28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</row>
    <row r="21" spans="1:59" ht="36" customHeight="1" x14ac:dyDescent="0.3">
      <c r="A21">
        <v>12</v>
      </c>
      <c r="B21" s="27" t="s">
        <v>29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</row>
    <row r="22" spans="1:59" ht="21" customHeight="1" x14ac:dyDescent="0.3">
      <c r="B22" s="15" t="s">
        <v>13</v>
      </c>
      <c r="C22" s="18" t="str">
        <f>IF(Hoja1!B4+Hoja1!B5&lt;7," ",IF(Hoja1!B4=7,"Aprobado","Reprobado"))</f>
        <v xml:space="preserve"> </v>
      </c>
      <c r="D22" s="18" t="str">
        <f>IF(Hoja1!C4+Hoja1!C5&lt;7," ",IF(Hoja1!C4&gt;=7,"Aprobado","Reprobado"))</f>
        <v xml:space="preserve"> </v>
      </c>
      <c r="E22" s="18" t="str">
        <f>IF(Hoja1!D4+Hoja1!D5&lt;7," ",IF(Hoja1!D4&gt;=7,"Aprobado","Reprobado"))</f>
        <v xml:space="preserve"> </v>
      </c>
      <c r="F22" s="18" t="str">
        <f>IF(Hoja1!E4+Hoja1!E5&lt;7," ",IF(Hoja1!E4&gt;=7,"Aprobado","Reprobado"))</f>
        <v xml:space="preserve"> </v>
      </c>
      <c r="G22" s="30" t="e">
        <f>IF(Hoja1!F4+Hoja1!F5&lt;7," ",IF(Hoja1!F4&gt;=7,"Aprobado","Reprobado"))</f>
        <v>#REF!</v>
      </c>
      <c r="H22" s="30" t="e">
        <f>IF(Hoja1!G4+Hoja1!G5&lt;7," ",IF(Hoja1!G4&gt;=7,"Aprobado","Reprobado"))</f>
        <v>#REF!</v>
      </c>
      <c r="I22" s="30" t="e">
        <f>IF(Hoja1!H4+Hoja1!H5&lt;7," ",IF(Hoja1!H4&gt;=7,"Aprobado","Reprobado"))</f>
        <v>#REF!</v>
      </c>
      <c r="J22" s="30" t="e">
        <f>IF(Hoja1!I4+Hoja1!I5&lt;7," ",IF(Hoja1!I4&gt;=7,"Aprobado","Reprobado"))</f>
        <v>#REF!</v>
      </c>
      <c r="K22" s="30" t="e">
        <f>IF(Hoja1!J4+Hoja1!J5&lt;7," ",IF(Hoja1!J4&gt;=7,"Aprobado","Reprobado"))</f>
        <v>#REF!</v>
      </c>
      <c r="L22" s="30" t="e">
        <f>IF(Hoja1!K4+Hoja1!K5&lt;7," ",IF(Hoja1!K4&gt;=7,"Aprobado","Reprobado"))</f>
        <v>#REF!</v>
      </c>
      <c r="M22" s="30" t="e">
        <f>IF(Hoja1!L4+Hoja1!L5&lt;7," ",IF(Hoja1!L4&gt;=7,"Aprobado","Reprobado"))</f>
        <v>#REF!</v>
      </c>
      <c r="N22" s="30" t="e">
        <f>IF(Hoja1!M4+Hoja1!M5&lt;7," ",IF(Hoja1!M4&gt;=7,"Aprobado","Reprobado"))</f>
        <v>#REF!</v>
      </c>
      <c r="O22" s="30" t="e">
        <f>IF(Hoja1!N4+Hoja1!N5&lt;7," ",IF(Hoja1!N4&gt;=7,"Aprobado","Reprobado"))</f>
        <v>#REF!</v>
      </c>
      <c r="P22" s="30" t="e">
        <f>IF(Hoja1!O4+Hoja1!O5&lt;7," ",IF(Hoja1!O4&gt;=7,"Aprobado","Reprobado"))</f>
        <v>#REF!</v>
      </c>
      <c r="Q22" s="30" t="e">
        <f>IF(Hoja1!P4+Hoja1!P5&lt;7," ",IF(Hoja1!P4&gt;=7,"Aprobado","Reprobado"))</f>
        <v>#REF!</v>
      </c>
      <c r="R22" s="30" t="e">
        <f>IF(Hoja1!Q4+Hoja1!Q5&lt;7," ",IF(Hoja1!Q4&gt;=7,"Aprobado","Reprobado"))</f>
        <v>#REF!</v>
      </c>
      <c r="S22" s="30" t="e">
        <f>IF(Hoja1!R4+Hoja1!R5&lt;7," ",IF(Hoja1!R4&gt;=7,"Aprobado","Reprobado"))</f>
        <v>#REF!</v>
      </c>
      <c r="T22" s="30" t="e">
        <f>IF(Hoja1!S4+Hoja1!S5&lt;7," ",IF(Hoja1!S4&gt;=7,"Aprobado","Reprobado"))</f>
        <v>#REF!</v>
      </c>
      <c r="U22" s="30" t="e">
        <f>IF(Hoja1!T4+Hoja1!T5&lt;7," ",IF(Hoja1!T4&gt;=7,"Aprobado","Reprobado"))</f>
        <v>#REF!</v>
      </c>
      <c r="V22" s="30" t="e">
        <f>IF(Hoja1!U4+Hoja1!U5&lt;7," ",IF(Hoja1!U4&gt;=7,"Aprobado","Reprobado"))</f>
        <v>#REF!</v>
      </c>
      <c r="W22" s="30" t="e">
        <f>IF(Hoja1!V4+Hoja1!V5&lt;7," ",IF(Hoja1!V4&gt;=7,"Aprobado","Reprobado"))</f>
        <v>#REF!</v>
      </c>
      <c r="X22" s="30" t="e">
        <f>IF(Hoja1!W4+Hoja1!W5&lt;7," ",IF(Hoja1!W4&gt;=7,"Aprobado","Reprobado"))</f>
        <v>#REF!</v>
      </c>
      <c r="Y22" s="30" t="e">
        <f>IF(Hoja1!X4+Hoja1!X5&lt;7," ",IF(Hoja1!X4&gt;=7,"Aprobado","Reprobado"))</f>
        <v>#REF!</v>
      </c>
      <c r="Z22" s="30" t="e">
        <f>IF(Hoja1!Y4+Hoja1!Y5&lt;7," ",IF(Hoja1!Y4&gt;=7,"Aprobado","Reprobado"))</f>
        <v>#REF!</v>
      </c>
      <c r="AA22" s="30" t="e">
        <f>IF(Hoja1!Z4+Hoja1!Z5&lt;7," ",IF(Hoja1!Z4&gt;=7,"Aprobado","Reprobado"))</f>
        <v>#REF!</v>
      </c>
      <c r="AB22" s="30" t="e">
        <f>IF(Hoja1!AA4+Hoja1!AA5&lt;7," ",IF(Hoja1!AA4&gt;=7,"Aprobado","Reprobado"))</f>
        <v>#REF!</v>
      </c>
      <c r="AC22" s="30" t="e">
        <f>IF(Hoja1!AB4+Hoja1!AB5&lt;7," ",IF(Hoja1!AB4&gt;=7,"Aprobado","Reprobado"))</f>
        <v>#REF!</v>
      </c>
      <c r="AD22" s="30" t="e">
        <f>IF(Hoja1!AC4+Hoja1!AC5&lt;7," ",IF(Hoja1!AC4&gt;=7,"Aprobado","Reprobado"))</f>
        <v>#REF!</v>
      </c>
      <c r="AE22" s="30" t="e">
        <f>IF(Hoja1!AD4+Hoja1!AD5&lt;7," ",IF(Hoja1!AD4&gt;=7,"Aprobado","Reprobado"))</f>
        <v>#REF!</v>
      </c>
      <c r="AF22" s="30" t="e">
        <f>IF(Hoja1!AE4+Hoja1!AE5&lt;7," ",IF(Hoja1!AE4&gt;=7,"Aprobado","Reprobado"))</f>
        <v>#REF!</v>
      </c>
      <c r="AG22" s="30" t="e">
        <f>IF(Hoja1!AF4+Hoja1!AF5&lt;7," ",IF(Hoja1!AF4&gt;=7,"Aprobado","Reprobado"))</f>
        <v>#REF!</v>
      </c>
      <c r="AH22" s="30" t="e">
        <f>IF(Hoja1!AG4+Hoja1!AG5&lt;7," ",IF(Hoja1!AG4&gt;=7,"Aprobado","Reprobado"))</f>
        <v>#REF!</v>
      </c>
      <c r="AI22" s="30" t="e">
        <f>IF(Hoja1!AH4+Hoja1!AH5&lt;7," ",IF(Hoja1!AH4&gt;=7,"Aprobado","Reprobado"))</f>
        <v>#REF!</v>
      </c>
      <c r="AJ22" s="30" t="e">
        <f>IF(Hoja1!AI4+Hoja1!AI5&lt;7," ",IF(Hoja1!AI4&gt;=7,"Aprobado","Reprobado"))</f>
        <v>#REF!</v>
      </c>
      <c r="AK22" s="30" t="e">
        <f>IF(Hoja1!AJ4+Hoja1!AJ5&lt;7," ",IF(Hoja1!AJ4&gt;=7,"Aprobado","Reprobado"))</f>
        <v>#REF!</v>
      </c>
      <c r="AL22" s="30" t="e">
        <f>IF(Hoja1!AK4+Hoja1!AK5&lt;7," ",IF(Hoja1!AK4&gt;=7,"Aprobado","Reprobado"))</f>
        <v>#REF!</v>
      </c>
      <c r="AM22" s="30" t="e">
        <f>IF(Hoja1!AL4+Hoja1!AL5&lt;7," ",IF(Hoja1!AL4&gt;=7,"Aprobado","Reprobado"))</f>
        <v>#REF!</v>
      </c>
      <c r="AN22" s="30" t="str">
        <f>IF(Hoja1!AM4+Hoja1!AM5&lt;7," ",IF(Hoja1!AM4&gt;=7,"Aprobado","Reprobado"))</f>
        <v xml:space="preserve"> </v>
      </c>
      <c r="AO22" s="30" t="str">
        <f>IF(Hoja1!AN4+Hoja1!AN5&lt;7," ",IF(Hoja1!AN4&gt;=7,"Aprobado","Reprobado"))</f>
        <v xml:space="preserve"> </v>
      </c>
      <c r="AP22" s="30" t="str">
        <f>IF(Hoja1!AO4+Hoja1!AO5&lt;7," ",IF(Hoja1!AO4&gt;=7,"Aprobado","Reprobado"))</f>
        <v xml:space="preserve"> </v>
      </c>
      <c r="AQ22" s="30" t="str">
        <f>IF(Hoja1!AP4+Hoja1!AP5&lt;7," ",IF(Hoja1!AP4&gt;=7,"Aprobado","Reprobado"))</f>
        <v xml:space="preserve"> </v>
      </c>
      <c r="AR22" s="30" t="str">
        <f>IF(Hoja1!AQ4+Hoja1!AQ5&lt;7," ",IF(Hoja1!AQ4&gt;=7,"Aprobado","Reprobado"))</f>
        <v xml:space="preserve"> </v>
      </c>
      <c r="AS22" s="30" t="str">
        <f>IF(Hoja1!AR4+Hoja1!AR5&lt;7," ",IF(Hoja1!AR4&gt;=7,"Aprobado","Reprobado"))</f>
        <v xml:space="preserve"> </v>
      </c>
      <c r="AT22" s="30" t="str">
        <f>IF(Hoja1!AS4+Hoja1!AS5&lt;7," ",IF(Hoja1!AS4&gt;=7,"Aprobado","Reprobado"))</f>
        <v xml:space="preserve"> </v>
      </c>
      <c r="AU22" s="30" t="str">
        <f>IF(Hoja1!AT4+Hoja1!AT5&lt;7," ",IF(Hoja1!AT4&gt;=7,"Aprobado","Reprobado"))</f>
        <v xml:space="preserve"> </v>
      </c>
      <c r="AV22" s="30" t="str">
        <f>IF(Hoja1!AU4+Hoja1!AU5&lt;7," ",IF(Hoja1!AU4&gt;=7,"Aprobado","Reprobado"))</f>
        <v xml:space="preserve"> </v>
      </c>
      <c r="AW22" s="30" t="str">
        <f>IF(Hoja1!AV4+Hoja1!AV5&lt;7," ",IF(Hoja1!AV4&gt;=7,"Aprobado","Reprobado"))</f>
        <v xml:space="preserve"> </v>
      </c>
      <c r="AX22" s="30" t="str">
        <f>IF(Hoja1!AW4+Hoja1!AW5&lt;7," ",IF(Hoja1!AW4&gt;=7,"Aprobado","Reprobado"))</f>
        <v xml:space="preserve"> </v>
      </c>
      <c r="AY22" s="30" t="str">
        <f>IF(Hoja1!AX4+Hoja1!AX5&lt;7," ",IF(Hoja1!AX4&gt;=7,"Aprobado","Reprobado"))</f>
        <v xml:space="preserve"> </v>
      </c>
      <c r="AZ22" s="30" t="str">
        <f>IF(Hoja1!AY4+Hoja1!AY5&lt;7," ",IF(Hoja1!AY4&gt;=7,"Aprobado","Reprobado"))</f>
        <v xml:space="preserve"> </v>
      </c>
      <c r="BA22" s="30" t="str">
        <f>IF(Hoja1!AZ4+Hoja1!AZ5&lt;7," ",IF(Hoja1!AZ4&gt;=7,"Aprobado","Reprobado"))</f>
        <v xml:space="preserve"> </v>
      </c>
      <c r="BB22" s="30" t="str">
        <f>IF(Hoja1!BA4+Hoja1!BA5&lt;7," ",IF(Hoja1!BA4&gt;=7,"Aprobado","Reprobado"))</f>
        <v xml:space="preserve"> </v>
      </c>
      <c r="BC22" s="30" t="str">
        <f>IF(Hoja1!BB4+Hoja1!BB5&lt;7," ",IF(Hoja1!BB4&gt;=7,"Aprobado","Reprobado"))</f>
        <v xml:space="preserve"> </v>
      </c>
      <c r="BD22" s="30" t="str">
        <f>IF(Hoja1!BC4+Hoja1!BC5&lt;7," ",IF(Hoja1!BC4&gt;=7,"Aprobado","Reprobado"))</f>
        <v xml:space="preserve"> </v>
      </c>
      <c r="BE22" s="30" t="str">
        <f>IF(Hoja1!BD4+Hoja1!BD5&lt;7," ",IF(Hoja1!BD4&gt;=7,"Aprobado","Reprobado"))</f>
        <v xml:space="preserve"> </v>
      </c>
      <c r="BF22" s="30" t="str">
        <f>IF(Hoja1!BE4+Hoja1!BE5&lt;7," ",IF(Hoja1!BE4&gt;=7,"Aprobado","Reprobado"))</f>
        <v xml:space="preserve"> </v>
      </c>
      <c r="BG22" s="30" t="str">
        <f>IF(Hoja1!BF4+Hoja1!BF5&lt;7," ",IF(Hoja1!BF4&gt;=7,"Aprobado","Reprobado"))</f>
        <v xml:space="preserve"> </v>
      </c>
    </row>
    <row r="23" spans="1:59" ht="64.2" customHeight="1" x14ac:dyDescent="0.3">
      <c r="B23" s="29" t="s">
        <v>30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</row>
    <row r="24" spans="1:59" x14ac:dyDescent="0.3">
      <c r="B24" t="s">
        <v>31</v>
      </c>
    </row>
    <row r="25" spans="1:59" x14ac:dyDescent="0.3">
      <c r="B25" t="s">
        <v>32</v>
      </c>
    </row>
    <row r="27" spans="1:59" x14ac:dyDescent="0.3">
      <c r="B27" t="s">
        <v>35</v>
      </c>
    </row>
    <row r="28" spans="1:59" x14ac:dyDescent="0.3">
      <c r="B28" t="s">
        <v>36</v>
      </c>
    </row>
    <row r="29" spans="1:59" x14ac:dyDescent="0.3">
      <c r="B29" t="s">
        <v>37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4AAA61B-CC36-4BDD-A25A-998791543789}">
            <xm:f>NOT(ISERROR(SEARCH("Reprobado",C22)))</xm:f>
            <xm:f>"Reprobado"</xm:f>
            <x14:dxf>
              <font>
                <color theme="1"/>
              </font>
              <fill>
                <patternFill patternType="solid">
                  <fgColor theme="0"/>
                  <bgColor rgb="FFFF0000"/>
                </patternFill>
              </fill>
            </x14:dxf>
          </x14:cfRule>
          <x14:cfRule type="containsText" priority="2" operator="containsText" id="{E050AAA6-28EF-492A-BC22-A98D720E9356}">
            <xm:f>NOT(ISERROR(SEARCH("Aprobado",C22)))</xm:f>
            <xm:f>"Aprobado"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C22:BG23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15DC-5E2D-4831-8370-CA50CBC83E2D}">
  <dimension ref="A2:BG29"/>
  <sheetViews>
    <sheetView workbookViewId="0">
      <selection activeCell="B8" sqref="B8"/>
    </sheetView>
  </sheetViews>
  <sheetFormatPr baseColWidth="10" defaultRowHeight="14.4" x14ac:dyDescent="0.3"/>
  <cols>
    <col min="1" max="1" width="5.6640625" customWidth="1"/>
    <col min="2" max="2" width="45.21875" customWidth="1"/>
    <col min="3" max="3" width="24.6640625" customWidth="1"/>
    <col min="4" max="4" width="23.109375" customWidth="1"/>
    <col min="5" max="5" width="22.5546875" customWidth="1"/>
    <col min="6" max="6" width="22.77734375" customWidth="1"/>
    <col min="7" max="7" width="22.5546875" customWidth="1"/>
    <col min="8" max="8" width="19.88671875" customWidth="1"/>
    <col min="9" max="9" width="21" customWidth="1"/>
    <col min="10" max="10" width="20.109375" customWidth="1"/>
    <col min="11" max="11" width="19.88671875" customWidth="1"/>
    <col min="12" max="12" width="20.44140625" customWidth="1"/>
    <col min="13" max="13" width="20.6640625" customWidth="1"/>
    <col min="14" max="14" width="20.21875" customWidth="1"/>
    <col min="15" max="15" width="21.5546875" customWidth="1"/>
    <col min="16" max="16" width="20.77734375" customWidth="1"/>
    <col min="17" max="17" width="21.21875" customWidth="1"/>
    <col min="18" max="18" width="21.33203125" customWidth="1"/>
    <col min="19" max="19" width="20.44140625" customWidth="1"/>
    <col min="20" max="22" width="21.33203125" customWidth="1"/>
    <col min="23" max="23" width="19.88671875" customWidth="1"/>
    <col min="24" max="24" width="21.33203125" customWidth="1"/>
    <col min="25" max="25" width="21" customWidth="1"/>
    <col min="26" max="26" width="19.5546875" customWidth="1"/>
    <col min="27" max="27" width="21.21875" customWidth="1"/>
    <col min="28" max="28" width="21" customWidth="1"/>
    <col min="29" max="29" width="21.21875" customWidth="1"/>
    <col min="30" max="30" width="20.6640625" customWidth="1"/>
    <col min="31" max="31" width="21" customWidth="1"/>
    <col min="32" max="32" width="20.77734375" customWidth="1"/>
    <col min="33" max="33" width="20.21875" customWidth="1"/>
    <col min="34" max="34" width="22.109375" customWidth="1"/>
    <col min="35" max="35" width="19.5546875" customWidth="1"/>
    <col min="36" max="36" width="20.77734375" customWidth="1"/>
    <col min="37" max="37" width="21.33203125" customWidth="1"/>
    <col min="38" max="38" width="20.21875" customWidth="1"/>
    <col min="39" max="40" width="20.44140625" customWidth="1"/>
    <col min="41" max="41" width="20.6640625" customWidth="1"/>
    <col min="42" max="42" width="21.5546875" customWidth="1"/>
    <col min="43" max="43" width="21.21875" customWidth="1"/>
    <col min="44" max="45" width="20.44140625" customWidth="1"/>
    <col min="46" max="46" width="21" customWidth="1"/>
    <col min="47" max="47" width="21.21875" customWidth="1"/>
    <col min="48" max="48" width="20.6640625" customWidth="1"/>
    <col min="49" max="51" width="20.77734375" customWidth="1"/>
    <col min="52" max="52" width="21.33203125" customWidth="1"/>
    <col min="53" max="53" width="21" customWidth="1"/>
    <col min="54" max="54" width="21.33203125" customWidth="1"/>
    <col min="55" max="56" width="21" customWidth="1"/>
    <col min="57" max="57" width="20.6640625" customWidth="1"/>
    <col min="58" max="58" width="21.21875" customWidth="1"/>
    <col min="59" max="59" width="21.88671875" customWidth="1"/>
  </cols>
  <sheetData>
    <row r="2" spans="1:59" x14ac:dyDescent="0.3">
      <c r="B2" s="13" t="s">
        <v>15</v>
      </c>
    </row>
    <row r="3" spans="1:59" x14ac:dyDescent="0.3">
      <c r="B3" s="14" t="s">
        <v>16</v>
      </c>
      <c r="C3" s="14"/>
      <c r="D3" s="14"/>
      <c r="E3" s="14"/>
    </row>
    <row r="4" spans="1:59" s="32" customFormat="1" ht="15" thickBot="1" x14ac:dyDescent="0.35">
      <c r="B4" s="33"/>
      <c r="C4" s="33">
        <v>1</v>
      </c>
      <c r="D4" s="33">
        <v>2</v>
      </c>
      <c r="E4" s="33">
        <v>3</v>
      </c>
      <c r="F4" s="32">
        <v>4</v>
      </c>
      <c r="G4" s="33">
        <v>5</v>
      </c>
      <c r="H4" s="32">
        <v>6</v>
      </c>
      <c r="I4" s="33">
        <v>7</v>
      </c>
      <c r="J4" s="32">
        <v>8</v>
      </c>
      <c r="K4" s="33">
        <v>9</v>
      </c>
      <c r="L4" s="32">
        <v>10</v>
      </c>
      <c r="M4" s="33">
        <v>11</v>
      </c>
      <c r="N4" s="32">
        <v>12</v>
      </c>
      <c r="O4" s="33">
        <v>13</v>
      </c>
      <c r="P4" s="32">
        <v>14</v>
      </c>
      <c r="Q4" s="33">
        <v>15</v>
      </c>
      <c r="R4" s="32">
        <v>16</v>
      </c>
      <c r="S4" s="33">
        <v>17</v>
      </c>
      <c r="T4" s="32">
        <v>18</v>
      </c>
      <c r="U4" s="35">
        <v>19</v>
      </c>
      <c r="V4" s="32">
        <v>20</v>
      </c>
      <c r="W4" s="33">
        <v>21</v>
      </c>
      <c r="X4" s="33">
        <v>22</v>
      </c>
      <c r="Y4" s="32">
        <v>23</v>
      </c>
      <c r="Z4" s="33">
        <v>24</v>
      </c>
      <c r="AA4" s="33">
        <v>25</v>
      </c>
      <c r="AB4" s="32">
        <v>26</v>
      </c>
      <c r="AC4" s="33">
        <v>27</v>
      </c>
      <c r="AD4" s="33">
        <v>28</v>
      </c>
      <c r="AE4" s="32">
        <v>29</v>
      </c>
      <c r="AF4" s="33">
        <v>30</v>
      </c>
      <c r="AG4" s="33">
        <v>31</v>
      </c>
      <c r="AH4" s="32">
        <v>32</v>
      </c>
      <c r="AI4" s="33">
        <v>33</v>
      </c>
      <c r="AJ4" s="33">
        <v>34</v>
      </c>
      <c r="AK4" s="32">
        <v>35</v>
      </c>
      <c r="AL4" s="33">
        <v>36</v>
      </c>
      <c r="AM4" s="33">
        <v>37</v>
      </c>
      <c r="AN4" s="36">
        <v>38</v>
      </c>
      <c r="AO4" s="33">
        <v>39</v>
      </c>
      <c r="AP4" s="33">
        <v>40</v>
      </c>
      <c r="AQ4" s="32">
        <v>41</v>
      </c>
      <c r="AR4" s="33">
        <v>42</v>
      </c>
      <c r="AS4" s="33">
        <v>43</v>
      </c>
      <c r="AT4" s="32">
        <v>44</v>
      </c>
      <c r="AU4" s="33">
        <v>45</v>
      </c>
      <c r="AV4" s="33">
        <v>46</v>
      </c>
      <c r="AW4" s="32">
        <v>47</v>
      </c>
      <c r="AX4" s="33">
        <v>48</v>
      </c>
      <c r="AY4" s="33">
        <v>49</v>
      </c>
      <c r="AZ4" s="32">
        <v>50</v>
      </c>
      <c r="BA4" s="33">
        <v>51</v>
      </c>
      <c r="BB4" s="33">
        <v>52</v>
      </c>
      <c r="BC4" s="33">
        <v>53</v>
      </c>
      <c r="BD4" s="33">
        <v>54</v>
      </c>
      <c r="BE4" s="33">
        <v>55</v>
      </c>
      <c r="BF4" s="33">
        <v>56</v>
      </c>
      <c r="BG4" s="35">
        <v>57</v>
      </c>
    </row>
    <row r="5" spans="1:59" ht="22.5" customHeight="1" thickBot="1" x14ac:dyDescent="0.35">
      <c r="B5" s="9" t="s">
        <v>7</v>
      </c>
      <c r="C5" s="1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 spans="1:59" ht="20.25" customHeight="1" thickBot="1" x14ac:dyDescent="0.35">
      <c r="B6" s="10" t="s">
        <v>33</v>
      </c>
      <c r="C6" s="23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20.25" customHeight="1" thickBot="1" x14ac:dyDescent="0.35">
      <c r="B7" s="9" t="s">
        <v>34</v>
      </c>
      <c r="C7" s="20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20.25" customHeight="1" thickBot="1" x14ac:dyDescent="0.35">
      <c r="B8" s="9" t="s">
        <v>14</v>
      </c>
      <c r="C8" s="2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</row>
    <row r="9" spans="1:59" ht="29.4" customHeight="1" x14ac:dyDescent="0.3">
      <c r="B9" s="34" t="s">
        <v>25</v>
      </c>
      <c r="C9" s="22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ht="15.6" x14ac:dyDescent="0.3">
      <c r="A10">
        <v>1</v>
      </c>
      <c r="B10" s="24" t="s">
        <v>17</v>
      </c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</row>
    <row r="11" spans="1:59" ht="31.2" customHeight="1" x14ac:dyDescent="0.3">
      <c r="A11">
        <v>2</v>
      </c>
      <c r="B11" s="24" t="s">
        <v>18</v>
      </c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</row>
    <row r="12" spans="1:59" ht="32.25" customHeight="1" x14ac:dyDescent="0.3">
      <c r="A12">
        <v>3</v>
      </c>
      <c r="B12" s="24" t="s">
        <v>19</v>
      </c>
      <c r="C12" s="2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</row>
    <row r="13" spans="1:59" ht="29.4" customHeight="1" x14ac:dyDescent="0.3">
      <c r="A13">
        <v>4</v>
      </c>
      <c r="B13" s="24" t="s">
        <v>20</v>
      </c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</row>
    <row r="14" spans="1:59" ht="30" customHeight="1" x14ac:dyDescent="0.3">
      <c r="A14">
        <v>5</v>
      </c>
      <c r="B14" s="24" t="s">
        <v>21</v>
      </c>
      <c r="C14" s="25"/>
      <c r="D14" s="16"/>
      <c r="E14" s="16"/>
      <c r="F14" s="17"/>
      <c r="G14" s="16"/>
      <c r="H14" s="17"/>
      <c r="I14" s="16"/>
      <c r="J14" s="17"/>
      <c r="K14" s="16"/>
      <c r="L14" s="17"/>
      <c r="M14" s="16"/>
      <c r="N14" s="17"/>
      <c r="O14" s="16"/>
      <c r="P14" s="17"/>
      <c r="Q14" s="16"/>
      <c r="R14" s="17"/>
      <c r="S14" s="16"/>
      <c r="T14" s="17"/>
      <c r="U14" s="16"/>
      <c r="V14" s="17"/>
      <c r="W14" s="16"/>
      <c r="X14" s="17"/>
      <c r="Y14" s="16"/>
      <c r="Z14" s="17"/>
      <c r="AA14" s="1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</row>
    <row r="15" spans="1:59" ht="30" customHeight="1" x14ac:dyDescent="0.3">
      <c r="A15">
        <v>6</v>
      </c>
      <c r="B15" s="24" t="s">
        <v>22</v>
      </c>
      <c r="C15" s="25"/>
      <c r="D15" s="16"/>
      <c r="E15" s="16"/>
      <c r="F15" s="17"/>
      <c r="G15" s="16"/>
      <c r="H15" s="17"/>
      <c r="I15" s="16"/>
      <c r="J15" s="17"/>
      <c r="K15" s="16"/>
      <c r="L15" s="17"/>
      <c r="M15" s="16"/>
      <c r="N15" s="17"/>
      <c r="O15" s="16"/>
      <c r="P15" s="17"/>
      <c r="Q15" s="16"/>
      <c r="R15" s="17"/>
      <c r="S15" s="16"/>
      <c r="T15" s="17"/>
      <c r="U15" s="16"/>
      <c r="V15" s="17"/>
      <c r="W15" s="16"/>
      <c r="X15" s="17"/>
      <c r="Y15" s="16"/>
      <c r="Z15" s="17"/>
      <c r="AA15" s="1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</row>
    <row r="16" spans="1:59" ht="33.6" customHeight="1" x14ac:dyDescent="0.3">
      <c r="A16">
        <v>7</v>
      </c>
      <c r="B16" s="24" t="s">
        <v>23</v>
      </c>
      <c r="C16" s="25"/>
      <c r="D16" s="16"/>
      <c r="E16" s="16"/>
      <c r="F16" s="17"/>
      <c r="G16" s="16"/>
      <c r="H16" s="17"/>
      <c r="I16" s="16"/>
      <c r="J16" s="17"/>
      <c r="K16" s="16"/>
      <c r="L16" s="17"/>
      <c r="M16" s="16"/>
      <c r="N16" s="17"/>
      <c r="O16" s="16"/>
      <c r="P16" s="17"/>
      <c r="Q16" s="16"/>
      <c r="R16" s="17"/>
      <c r="S16" s="16"/>
      <c r="T16" s="17"/>
      <c r="U16" s="16"/>
      <c r="V16" s="17"/>
      <c r="W16" s="16"/>
      <c r="X16" s="17"/>
      <c r="Y16" s="16"/>
      <c r="Z16" s="17"/>
      <c r="AA16" s="1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</row>
    <row r="17" spans="1:59" ht="36" customHeight="1" x14ac:dyDescent="0.3">
      <c r="A17">
        <v>8</v>
      </c>
      <c r="B17" s="24" t="s">
        <v>24</v>
      </c>
      <c r="C17" s="2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</row>
    <row r="18" spans="1:59" ht="36" customHeight="1" x14ac:dyDescent="0.3">
      <c r="A18">
        <v>9</v>
      </c>
      <c r="B18" s="26" t="s">
        <v>26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</row>
    <row r="19" spans="1:59" ht="36" customHeight="1" x14ac:dyDescent="0.3">
      <c r="A19">
        <v>10</v>
      </c>
      <c r="B19" s="31" t="s">
        <v>27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</row>
    <row r="20" spans="1:59" ht="36" customHeight="1" x14ac:dyDescent="0.3">
      <c r="A20">
        <v>11</v>
      </c>
      <c r="B20" s="26" t="s">
        <v>28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</row>
    <row r="21" spans="1:59" ht="36" customHeight="1" x14ac:dyDescent="0.3">
      <c r="A21">
        <v>12</v>
      </c>
      <c r="B21" s="27" t="s">
        <v>29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</row>
    <row r="22" spans="1:59" ht="21" customHeight="1" x14ac:dyDescent="0.3">
      <c r="B22" s="15" t="s">
        <v>13</v>
      </c>
      <c r="C22" s="18" t="str">
        <f>IF(Hoja1!B4+Hoja1!B5&lt;7," ",IF(Hoja1!B4=7,"Aprobado","Reprobado"))</f>
        <v xml:space="preserve"> </v>
      </c>
      <c r="D22" s="18" t="str">
        <f>IF(Hoja1!C4+Hoja1!C5&lt;7," ",IF(Hoja1!C4&gt;=7,"Aprobado","Reprobado"))</f>
        <v xml:space="preserve"> </v>
      </c>
      <c r="E22" s="18" t="str">
        <f>IF(Hoja1!D4+Hoja1!D5&lt;7," ",IF(Hoja1!D4&gt;=7,"Aprobado","Reprobado"))</f>
        <v xml:space="preserve"> </v>
      </c>
      <c r="F22" s="18" t="str">
        <f>IF(Hoja1!E4+Hoja1!E5&lt;7," ",IF(Hoja1!E4&gt;=7,"Aprobado","Reprobado"))</f>
        <v xml:space="preserve"> </v>
      </c>
      <c r="G22" s="30" t="e">
        <f>IF(Hoja1!F4+Hoja1!F5&lt;7," ",IF(Hoja1!F4&gt;=7,"Aprobado","Reprobado"))</f>
        <v>#REF!</v>
      </c>
      <c r="H22" s="30" t="e">
        <f>IF(Hoja1!G4+Hoja1!G5&lt;7," ",IF(Hoja1!G4&gt;=7,"Aprobado","Reprobado"))</f>
        <v>#REF!</v>
      </c>
      <c r="I22" s="30" t="e">
        <f>IF(Hoja1!H4+Hoja1!H5&lt;7," ",IF(Hoja1!H4&gt;=7,"Aprobado","Reprobado"))</f>
        <v>#REF!</v>
      </c>
      <c r="J22" s="30" t="e">
        <f>IF(Hoja1!I4+Hoja1!I5&lt;7," ",IF(Hoja1!I4&gt;=7,"Aprobado","Reprobado"))</f>
        <v>#REF!</v>
      </c>
      <c r="K22" s="30" t="e">
        <f>IF(Hoja1!J4+Hoja1!J5&lt;7," ",IF(Hoja1!J4&gt;=7,"Aprobado","Reprobado"))</f>
        <v>#REF!</v>
      </c>
      <c r="L22" s="30" t="e">
        <f>IF(Hoja1!K4+Hoja1!K5&lt;7," ",IF(Hoja1!K4&gt;=7,"Aprobado","Reprobado"))</f>
        <v>#REF!</v>
      </c>
      <c r="M22" s="30" t="e">
        <f>IF(Hoja1!L4+Hoja1!L5&lt;7," ",IF(Hoja1!L4&gt;=7,"Aprobado","Reprobado"))</f>
        <v>#REF!</v>
      </c>
      <c r="N22" s="30" t="e">
        <f>IF(Hoja1!M4+Hoja1!M5&lt;7," ",IF(Hoja1!M4&gt;=7,"Aprobado","Reprobado"))</f>
        <v>#REF!</v>
      </c>
      <c r="O22" s="30" t="e">
        <f>IF(Hoja1!N4+Hoja1!N5&lt;7," ",IF(Hoja1!N4&gt;=7,"Aprobado","Reprobado"))</f>
        <v>#REF!</v>
      </c>
      <c r="P22" s="30" t="e">
        <f>IF(Hoja1!O4+Hoja1!O5&lt;7," ",IF(Hoja1!O4&gt;=7,"Aprobado","Reprobado"))</f>
        <v>#REF!</v>
      </c>
      <c r="Q22" s="30" t="e">
        <f>IF(Hoja1!P4+Hoja1!P5&lt;7," ",IF(Hoja1!P4&gt;=7,"Aprobado","Reprobado"))</f>
        <v>#REF!</v>
      </c>
      <c r="R22" s="30" t="e">
        <f>IF(Hoja1!Q4+Hoja1!Q5&lt;7," ",IF(Hoja1!Q4&gt;=7,"Aprobado","Reprobado"))</f>
        <v>#REF!</v>
      </c>
      <c r="S22" s="30" t="e">
        <f>IF(Hoja1!R4+Hoja1!R5&lt;7," ",IF(Hoja1!R4&gt;=7,"Aprobado","Reprobado"))</f>
        <v>#REF!</v>
      </c>
      <c r="T22" s="30" t="e">
        <f>IF(Hoja1!S4+Hoja1!S5&lt;7," ",IF(Hoja1!S4&gt;=7,"Aprobado","Reprobado"))</f>
        <v>#REF!</v>
      </c>
      <c r="U22" s="30" t="e">
        <f>IF(Hoja1!T4+Hoja1!T5&lt;7," ",IF(Hoja1!T4&gt;=7,"Aprobado","Reprobado"))</f>
        <v>#REF!</v>
      </c>
      <c r="V22" s="30" t="e">
        <f>IF(Hoja1!U4+Hoja1!U5&lt;7," ",IF(Hoja1!U4&gt;=7,"Aprobado","Reprobado"))</f>
        <v>#REF!</v>
      </c>
      <c r="W22" s="30" t="e">
        <f>IF(Hoja1!V4+Hoja1!V5&lt;7," ",IF(Hoja1!V4&gt;=7,"Aprobado","Reprobado"))</f>
        <v>#REF!</v>
      </c>
      <c r="X22" s="30" t="e">
        <f>IF(Hoja1!W4+Hoja1!W5&lt;7," ",IF(Hoja1!W4&gt;=7,"Aprobado","Reprobado"))</f>
        <v>#REF!</v>
      </c>
      <c r="Y22" s="30" t="e">
        <f>IF(Hoja1!X4+Hoja1!X5&lt;7," ",IF(Hoja1!X4&gt;=7,"Aprobado","Reprobado"))</f>
        <v>#REF!</v>
      </c>
      <c r="Z22" s="30" t="e">
        <f>IF(Hoja1!Y4+Hoja1!Y5&lt;7," ",IF(Hoja1!Y4&gt;=7,"Aprobado","Reprobado"))</f>
        <v>#REF!</v>
      </c>
      <c r="AA22" s="30" t="e">
        <f>IF(Hoja1!Z4+Hoja1!Z5&lt;7," ",IF(Hoja1!Z4&gt;=7,"Aprobado","Reprobado"))</f>
        <v>#REF!</v>
      </c>
      <c r="AB22" s="30" t="e">
        <f>IF(Hoja1!AA4+Hoja1!AA5&lt;7," ",IF(Hoja1!AA4&gt;=7,"Aprobado","Reprobado"))</f>
        <v>#REF!</v>
      </c>
      <c r="AC22" s="30" t="e">
        <f>IF(Hoja1!AB4+Hoja1!AB5&lt;7," ",IF(Hoja1!AB4&gt;=7,"Aprobado","Reprobado"))</f>
        <v>#REF!</v>
      </c>
      <c r="AD22" s="30" t="e">
        <f>IF(Hoja1!AC4+Hoja1!AC5&lt;7," ",IF(Hoja1!AC4&gt;=7,"Aprobado","Reprobado"))</f>
        <v>#REF!</v>
      </c>
      <c r="AE22" s="30" t="e">
        <f>IF(Hoja1!AD4+Hoja1!AD5&lt;7," ",IF(Hoja1!AD4&gt;=7,"Aprobado","Reprobado"))</f>
        <v>#REF!</v>
      </c>
      <c r="AF22" s="30" t="e">
        <f>IF(Hoja1!AE4+Hoja1!AE5&lt;7," ",IF(Hoja1!AE4&gt;=7,"Aprobado","Reprobado"))</f>
        <v>#REF!</v>
      </c>
      <c r="AG22" s="30" t="e">
        <f>IF(Hoja1!AF4+Hoja1!AF5&lt;7," ",IF(Hoja1!AF4&gt;=7,"Aprobado","Reprobado"))</f>
        <v>#REF!</v>
      </c>
      <c r="AH22" s="30" t="e">
        <f>IF(Hoja1!AG4+Hoja1!AG5&lt;7," ",IF(Hoja1!AG4&gt;=7,"Aprobado","Reprobado"))</f>
        <v>#REF!</v>
      </c>
      <c r="AI22" s="30" t="e">
        <f>IF(Hoja1!AH4+Hoja1!AH5&lt;7," ",IF(Hoja1!AH4&gt;=7,"Aprobado","Reprobado"))</f>
        <v>#REF!</v>
      </c>
      <c r="AJ22" s="30" t="e">
        <f>IF(Hoja1!AI4+Hoja1!AI5&lt;7," ",IF(Hoja1!AI4&gt;=7,"Aprobado","Reprobado"))</f>
        <v>#REF!</v>
      </c>
      <c r="AK22" s="30" t="e">
        <f>IF(Hoja1!AJ4+Hoja1!AJ5&lt;7," ",IF(Hoja1!AJ4&gt;=7,"Aprobado","Reprobado"))</f>
        <v>#REF!</v>
      </c>
      <c r="AL22" s="30" t="e">
        <f>IF(Hoja1!AK4+Hoja1!AK5&lt;7," ",IF(Hoja1!AK4&gt;=7,"Aprobado","Reprobado"))</f>
        <v>#REF!</v>
      </c>
      <c r="AM22" s="30" t="e">
        <f>IF(Hoja1!AL4+Hoja1!AL5&lt;7," ",IF(Hoja1!AL4&gt;=7,"Aprobado","Reprobado"))</f>
        <v>#REF!</v>
      </c>
      <c r="AN22" s="30" t="str">
        <f>IF(Hoja1!AM4+Hoja1!AM5&lt;7," ",IF(Hoja1!AM4&gt;=7,"Aprobado","Reprobado"))</f>
        <v xml:space="preserve"> </v>
      </c>
      <c r="AO22" s="30" t="str">
        <f>IF(Hoja1!AN4+Hoja1!AN5&lt;7," ",IF(Hoja1!AN4&gt;=7,"Aprobado","Reprobado"))</f>
        <v xml:space="preserve"> </v>
      </c>
      <c r="AP22" s="30" t="str">
        <f>IF(Hoja1!AO4+Hoja1!AO5&lt;7," ",IF(Hoja1!AO4&gt;=7,"Aprobado","Reprobado"))</f>
        <v xml:space="preserve"> </v>
      </c>
      <c r="AQ22" s="30" t="str">
        <f>IF(Hoja1!AP4+Hoja1!AP5&lt;7," ",IF(Hoja1!AP4&gt;=7,"Aprobado","Reprobado"))</f>
        <v xml:space="preserve"> </v>
      </c>
      <c r="AR22" s="30" t="str">
        <f>IF(Hoja1!AQ4+Hoja1!AQ5&lt;7," ",IF(Hoja1!AQ4&gt;=7,"Aprobado","Reprobado"))</f>
        <v xml:space="preserve"> </v>
      </c>
      <c r="AS22" s="30" t="str">
        <f>IF(Hoja1!AR4+Hoja1!AR5&lt;7," ",IF(Hoja1!AR4&gt;=7,"Aprobado","Reprobado"))</f>
        <v xml:space="preserve"> </v>
      </c>
      <c r="AT22" s="30" t="str">
        <f>IF(Hoja1!AS4+Hoja1!AS5&lt;7," ",IF(Hoja1!AS4&gt;=7,"Aprobado","Reprobado"))</f>
        <v xml:space="preserve"> </v>
      </c>
      <c r="AU22" s="30" t="str">
        <f>IF(Hoja1!AT4+Hoja1!AT5&lt;7," ",IF(Hoja1!AT4&gt;=7,"Aprobado","Reprobado"))</f>
        <v xml:space="preserve"> </v>
      </c>
      <c r="AV22" s="30" t="str">
        <f>IF(Hoja1!AU4+Hoja1!AU5&lt;7," ",IF(Hoja1!AU4&gt;=7,"Aprobado","Reprobado"))</f>
        <v xml:space="preserve"> </v>
      </c>
      <c r="AW22" s="30" t="str">
        <f>IF(Hoja1!AV4+Hoja1!AV5&lt;7," ",IF(Hoja1!AV4&gt;=7,"Aprobado","Reprobado"))</f>
        <v xml:space="preserve"> </v>
      </c>
      <c r="AX22" s="30" t="str">
        <f>IF(Hoja1!AW4+Hoja1!AW5&lt;7," ",IF(Hoja1!AW4&gt;=7,"Aprobado","Reprobado"))</f>
        <v xml:space="preserve"> </v>
      </c>
      <c r="AY22" s="30" t="str">
        <f>IF(Hoja1!AX4+Hoja1!AX5&lt;7," ",IF(Hoja1!AX4&gt;=7,"Aprobado","Reprobado"))</f>
        <v xml:space="preserve"> </v>
      </c>
      <c r="AZ22" s="30" t="str">
        <f>IF(Hoja1!AY4+Hoja1!AY5&lt;7," ",IF(Hoja1!AY4&gt;=7,"Aprobado","Reprobado"))</f>
        <v xml:space="preserve"> </v>
      </c>
      <c r="BA22" s="30" t="str">
        <f>IF(Hoja1!AZ4+Hoja1!AZ5&lt;7," ",IF(Hoja1!AZ4&gt;=7,"Aprobado","Reprobado"))</f>
        <v xml:space="preserve"> </v>
      </c>
      <c r="BB22" s="30" t="str">
        <f>IF(Hoja1!BA4+Hoja1!BA5&lt;7," ",IF(Hoja1!BA4&gt;=7,"Aprobado","Reprobado"))</f>
        <v xml:space="preserve"> </v>
      </c>
      <c r="BC22" s="30" t="str">
        <f>IF(Hoja1!BB4+Hoja1!BB5&lt;7," ",IF(Hoja1!BB4&gt;=7,"Aprobado","Reprobado"))</f>
        <v xml:space="preserve"> </v>
      </c>
      <c r="BD22" s="30" t="str">
        <f>IF(Hoja1!BC4+Hoja1!BC5&lt;7," ",IF(Hoja1!BC4&gt;=7,"Aprobado","Reprobado"))</f>
        <v xml:space="preserve"> </v>
      </c>
      <c r="BE22" s="30" t="str">
        <f>IF(Hoja1!BD4+Hoja1!BD5&lt;7," ",IF(Hoja1!BD4&gt;=7,"Aprobado","Reprobado"))</f>
        <v xml:space="preserve"> </v>
      </c>
      <c r="BF22" s="30" t="str">
        <f>IF(Hoja1!BE4+Hoja1!BE5&lt;7," ",IF(Hoja1!BE4&gt;=7,"Aprobado","Reprobado"))</f>
        <v xml:space="preserve"> </v>
      </c>
      <c r="BG22" s="30" t="str">
        <f>IF(Hoja1!BF4+Hoja1!BF5&lt;7," ",IF(Hoja1!BF4&gt;=7,"Aprobado","Reprobado"))</f>
        <v xml:space="preserve"> </v>
      </c>
    </row>
    <row r="23" spans="1:59" ht="64.2" customHeight="1" x14ac:dyDescent="0.3">
      <c r="B23" s="29" t="s">
        <v>30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</row>
    <row r="24" spans="1:59" x14ac:dyDescent="0.3">
      <c r="B24" t="s">
        <v>31</v>
      </c>
    </row>
    <row r="25" spans="1:59" x14ac:dyDescent="0.3">
      <c r="B25" t="s">
        <v>32</v>
      </c>
    </row>
    <row r="27" spans="1:59" x14ac:dyDescent="0.3">
      <c r="B27" t="s">
        <v>35</v>
      </c>
    </row>
    <row r="28" spans="1:59" x14ac:dyDescent="0.3">
      <c r="B28" t="s">
        <v>36</v>
      </c>
    </row>
    <row r="29" spans="1:59" x14ac:dyDescent="0.3">
      <c r="B29" t="s">
        <v>37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755C0FD-49CC-47E5-A2A1-D70B8B656577}">
            <xm:f>NOT(ISERROR(SEARCH("Reprobado",C22)))</xm:f>
            <xm:f>"Reprobado"</xm:f>
            <x14:dxf>
              <font>
                <color theme="1"/>
              </font>
              <fill>
                <patternFill patternType="solid">
                  <fgColor theme="0"/>
                  <bgColor rgb="FFFF0000"/>
                </patternFill>
              </fill>
            </x14:dxf>
          </x14:cfRule>
          <x14:cfRule type="containsText" priority="2" operator="containsText" id="{05216DAD-C308-4237-BFA8-A0A65BEBA4BE}">
            <xm:f>NOT(ISERROR(SEARCH("Aprobado",C22)))</xm:f>
            <xm:f>"Aprobado"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C22:BG23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L26"/>
  <sheetViews>
    <sheetView zoomScaleNormal="100" workbookViewId="0">
      <selection activeCell="B4" sqref="B4"/>
    </sheetView>
  </sheetViews>
  <sheetFormatPr baseColWidth="10" defaultRowHeight="14.4" x14ac:dyDescent="0.3"/>
  <cols>
    <col min="1" max="1" width="25" customWidth="1"/>
    <col min="2" max="2" width="12.6640625" customWidth="1"/>
    <col min="3" max="3" width="13.6640625" customWidth="1"/>
  </cols>
  <sheetData>
    <row r="4" spans="1:38" x14ac:dyDescent="0.3">
      <c r="B4">
        <f>COUNTIF('mayo a julio 26'!C10:C23,"si")</f>
        <v>0</v>
      </c>
      <c r="C4">
        <f>COUNTIF('mayo a julio 26'!D10:D23,"si")</f>
        <v>0</v>
      </c>
      <c r="D4">
        <f>COUNTIF('mayo a julio 26'!E10:E23,"si")</f>
        <v>0</v>
      </c>
      <c r="E4">
        <f>COUNTIF('mayo a julio 26'!F10:F23,"si")</f>
        <v>0</v>
      </c>
      <c r="F4" t="e">
        <f>COUNTIF('mayo a julio 26'!#REF!,"si")</f>
        <v>#REF!</v>
      </c>
      <c r="G4" t="e">
        <f>COUNTIF('mayo a julio 26'!#REF!,"si")</f>
        <v>#REF!</v>
      </c>
      <c r="H4" t="e">
        <f>COUNTIF('mayo a julio 26'!#REF!,"si")</f>
        <v>#REF!</v>
      </c>
      <c r="I4" t="e">
        <f>COUNTIF('mayo a julio 26'!#REF!,"si")</f>
        <v>#REF!</v>
      </c>
      <c r="J4" t="e">
        <f>COUNTIF('mayo a julio 26'!#REF!,"si")</f>
        <v>#REF!</v>
      </c>
      <c r="K4" t="e">
        <f>COUNTIF('mayo a julio 26'!#REF!,"si")</f>
        <v>#REF!</v>
      </c>
      <c r="L4" t="e">
        <f>COUNTIF('mayo a julio 26'!#REF!,"si")</f>
        <v>#REF!</v>
      </c>
      <c r="M4" t="e">
        <f>COUNTIF('mayo a julio 26'!#REF!,"si")</f>
        <v>#REF!</v>
      </c>
      <c r="N4" t="e">
        <f>COUNTIF('mayo a julio 26'!#REF!,"si")</f>
        <v>#REF!</v>
      </c>
      <c r="O4" t="e">
        <f>COUNTIF('mayo a julio 26'!#REF!,"si")</f>
        <v>#REF!</v>
      </c>
      <c r="P4" t="e">
        <f>COUNTIF('mayo a julio 26'!#REF!,"si")</f>
        <v>#REF!</v>
      </c>
      <c r="Q4" t="e">
        <f>COUNTIF('mayo a julio 26'!#REF!,"si")</f>
        <v>#REF!</v>
      </c>
      <c r="R4" t="e">
        <f>COUNTIF('mayo a julio 26'!#REF!,"si")</f>
        <v>#REF!</v>
      </c>
      <c r="S4" t="e">
        <f>COUNTIF('mayo a julio 26'!#REF!,"si")</f>
        <v>#REF!</v>
      </c>
      <c r="T4" t="e">
        <f>COUNTIF('mayo a julio 26'!#REF!,"si")</f>
        <v>#REF!</v>
      </c>
      <c r="U4" t="e">
        <f>COUNTIF('mayo a julio 26'!#REF!,"si")</f>
        <v>#REF!</v>
      </c>
      <c r="V4" t="e">
        <f>COUNTIF('mayo a julio 26'!#REF!,"si")</f>
        <v>#REF!</v>
      </c>
      <c r="W4" t="e">
        <f>COUNTIF('mayo a julio 26'!#REF!,"si")</f>
        <v>#REF!</v>
      </c>
      <c r="X4" t="e">
        <f>COUNTIF('mayo a julio 26'!#REF!,"si")</f>
        <v>#REF!</v>
      </c>
      <c r="Y4" t="e">
        <f>COUNTIF('mayo a julio 26'!#REF!,"si")</f>
        <v>#REF!</v>
      </c>
      <c r="Z4" t="e">
        <f>COUNTIF('mayo a julio 26'!#REF!,"si")</f>
        <v>#REF!</v>
      </c>
      <c r="AA4" t="e">
        <f>COUNTIF('mayo a julio 26'!#REF!,"si")</f>
        <v>#REF!</v>
      </c>
      <c r="AB4" t="e">
        <f>COUNTIF('mayo a julio 26'!#REF!,"si")</f>
        <v>#REF!</v>
      </c>
      <c r="AC4" t="e">
        <f>COUNTIF('mayo a julio 26'!#REF!,"si")</f>
        <v>#REF!</v>
      </c>
      <c r="AD4" t="e">
        <f>COUNTIF('mayo a julio 26'!#REF!,"si")</f>
        <v>#REF!</v>
      </c>
      <c r="AE4" t="e">
        <f>COUNTIF('mayo a julio 26'!#REF!,"si")</f>
        <v>#REF!</v>
      </c>
      <c r="AF4" t="e">
        <f>COUNTIF('mayo a julio 26'!#REF!,"si")</f>
        <v>#REF!</v>
      </c>
      <c r="AG4" t="e">
        <f>COUNTIF('mayo a julio 26'!#REF!,"si")</f>
        <v>#REF!</v>
      </c>
      <c r="AH4" t="e">
        <f>COUNTIF('mayo a julio 26'!#REF!,"si")</f>
        <v>#REF!</v>
      </c>
      <c r="AI4" t="e">
        <f>COUNTIF('mayo a julio 26'!#REF!,"si")</f>
        <v>#REF!</v>
      </c>
      <c r="AJ4" t="e">
        <f>COUNTIF('mayo a julio 26'!#REF!,"si")</f>
        <v>#REF!</v>
      </c>
      <c r="AK4" t="e">
        <f>COUNTIF('mayo a julio 26'!#REF!,"si")</f>
        <v>#REF!</v>
      </c>
      <c r="AL4" t="e">
        <f>COUNTIF('mayo a julio 26'!#REF!,"si")</f>
        <v>#REF!</v>
      </c>
    </row>
    <row r="5" spans="1:38" x14ac:dyDescent="0.3">
      <c r="B5">
        <f>COUNTIF('mayo a julio 26'!C10:C23,"no")</f>
        <v>0</v>
      </c>
      <c r="C5">
        <f>COUNTIF('mayo a julio 26'!D10:D23,"no")</f>
        <v>0</v>
      </c>
      <c r="D5">
        <f>COUNTIF('mayo a julio 26'!E10:E23,"no")</f>
        <v>0</v>
      </c>
      <c r="E5">
        <f>COUNTIF('mayo a julio 26'!F10:F23,"no")</f>
        <v>0</v>
      </c>
      <c r="F5" t="e">
        <f>COUNTIF('mayo a julio 26'!#REF!,"no")</f>
        <v>#REF!</v>
      </c>
      <c r="G5" t="e">
        <f>COUNTIF('mayo a julio 26'!#REF!,"no")</f>
        <v>#REF!</v>
      </c>
      <c r="H5" t="e">
        <f>COUNTIF('mayo a julio 26'!#REF!,"no")</f>
        <v>#REF!</v>
      </c>
      <c r="I5" t="e">
        <f>COUNTIF('mayo a julio 26'!#REF!,"no")</f>
        <v>#REF!</v>
      </c>
      <c r="J5" t="e">
        <f>COUNTIF('mayo a julio 26'!#REF!,"no")</f>
        <v>#REF!</v>
      </c>
      <c r="K5" t="e">
        <f>COUNTIF('mayo a julio 26'!#REF!,"no")</f>
        <v>#REF!</v>
      </c>
      <c r="L5" t="e">
        <f>COUNTIF('mayo a julio 26'!#REF!,"no")</f>
        <v>#REF!</v>
      </c>
      <c r="M5" t="e">
        <f>COUNTIF('mayo a julio 26'!#REF!,"no")</f>
        <v>#REF!</v>
      </c>
      <c r="N5" t="e">
        <f>COUNTIF('mayo a julio 26'!#REF!,"no")</f>
        <v>#REF!</v>
      </c>
      <c r="O5" t="e">
        <f>COUNTIF('mayo a julio 26'!#REF!,"no")</f>
        <v>#REF!</v>
      </c>
      <c r="P5" t="e">
        <f>COUNTIF('mayo a julio 26'!#REF!,"no")</f>
        <v>#REF!</v>
      </c>
      <c r="Q5" t="e">
        <f>COUNTIF('mayo a julio 26'!#REF!,"no")</f>
        <v>#REF!</v>
      </c>
      <c r="R5" t="e">
        <f>COUNTIF('mayo a julio 26'!#REF!,"no")</f>
        <v>#REF!</v>
      </c>
      <c r="S5" t="e">
        <f>COUNTIF('mayo a julio 26'!#REF!,"no")</f>
        <v>#REF!</v>
      </c>
      <c r="T5" t="e">
        <f>COUNTIF('mayo a julio 26'!#REF!,"no")</f>
        <v>#REF!</v>
      </c>
      <c r="U5" t="e">
        <f>COUNTIF('mayo a julio 26'!#REF!,"no")</f>
        <v>#REF!</v>
      </c>
      <c r="V5" t="e">
        <f>COUNTIF('mayo a julio 26'!#REF!,"no")</f>
        <v>#REF!</v>
      </c>
      <c r="W5" t="e">
        <f>COUNTIF('mayo a julio 26'!#REF!,"no")</f>
        <v>#REF!</v>
      </c>
      <c r="X5" t="e">
        <f>COUNTIF('mayo a julio 26'!#REF!,"no")</f>
        <v>#REF!</v>
      </c>
      <c r="Y5" t="e">
        <f>COUNTIF('mayo a julio 26'!#REF!,"no")</f>
        <v>#REF!</v>
      </c>
      <c r="Z5" t="e">
        <f>COUNTIF('mayo a julio 26'!#REF!,"no")</f>
        <v>#REF!</v>
      </c>
      <c r="AA5" t="e">
        <f>COUNTIF('mayo a julio 26'!#REF!,"no")</f>
        <v>#REF!</v>
      </c>
      <c r="AB5" t="e">
        <f>COUNTIF('mayo a julio 26'!#REF!,"no")</f>
        <v>#REF!</v>
      </c>
      <c r="AC5" t="e">
        <f>COUNTIF('mayo a julio 26'!#REF!,"no")</f>
        <v>#REF!</v>
      </c>
      <c r="AD5" t="e">
        <f>COUNTIF('mayo a julio 26'!#REF!,"no")</f>
        <v>#REF!</v>
      </c>
      <c r="AE5" t="e">
        <f>COUNTIF('mayo a julio 26'!#REF!,"no")</f>
        <v>#REF!</v>
      </c>
      <c r="AF5" t="e">
        <f>COUNTIF('mayo a julio 26'!#REF!,"no")</f>
        <v>#REF!</v>
      </c>
      <c r="AG5" t="e">
        <f>COUNTIF('mayo a julio 26'!#REF!,"no")</f>
        <v>#REF!</v>
      </c>
      <c r="AH5" t="e">
        <f>COUNTIF('mayo a julio 26'!#REF!,"no")</f>
        <v>#REF!</v>
      </c>
      <c r="AI5" t="e">
        <f>COUNTIF('mayo a julio 26'!#REF!,"no")</f>
        <v>#REF!</v>
      </c>
      <c r="AJ5" t="e">
        <f>COUNTIF('mayo a julio 26'!#REF!,"no")</f>
        <v>#REF!</v>
      </c>
      <c r="AK5" t="e">
        <f>COUNTIF('mayo a julio 26'!#REF!,"no")</f>
        <v>#REF!</v>
      </c>
      <c r="AL5" t="e">
        <f>COUNTIF('mayo a julio 26'!#REF!,"no")</f>
        <v>#REF!</v>
      </c>
    </row>
    <row r="7" spans="1:38" x14ac:dyDescent="0.3">
      <c r="B7" t="s">
        <v>8</v>
      </c>
      <c r="C7" t="s">
        <v>9</v>
      </c>
    </row>
    <row r="8" spans="1:38" x14ac:dyDescent="0.3">
      <c r="B8">
        <f>COUNTIF('mayo a julio 26'!C24:F24,"Aprobado")</f>
        <v>0</v>
      </c>
      <c r="C8">
        <f>COUNTIF('mayo a julio 26'!C24:F24,"Reprobado")</f>
        <v>0</v>
      </c>
    </row>
    <row r="15" spans="1:38" x14ac:dyDescent="0.3">
      <c r="A15" s="3" t="s">
        <v>10</v>
      </c>
      <c r="B15" t="s">
        <v>11</v>
      </c>
      <c r="C15" t="s">
        <v>12</v>
      </c>
    </row>
    <row r="16" spans="1:38" ht="28.8" x14ac:dyDescent="0.3">
      <c r="A16" s="1" t="s">
        <v>0</v>
      </c>
      <c r="B16" s="2">
        <f>COUNTIF('mayo a julio 26'!C10:F10,"si")</f>
        <v>0</v>
      </c>
      <c r="C16" s="2">
        <f>COUNTIF('mayo a julio 26'!C10:F10,"no")</f>
        <v>0</v>
      </c>
    </row>
    <row r="17" spans="1:3" ht="28.8" x14ac:dyDescent="0.3">
      <c r="A17" s="1" t="s">
        <v>1</v>
      </c>
      <c r="B17" s="2">
        <f>COUNTIF('mayo a julio 26'!C11:F11,"si")</f>
        <v>0</v>
      </c>
      <c r="C17">
        <f>COUNTIF('mayo a julio 26'!C11:F11,"no")</f>
        <v>0</v>
      </c>
    </row>
    <row r="18" spans="1:3" ht="28.8" x14ac:dyDescent="0.3">
      <c r="A18" s="1" t="s">
        <v>2</v>
      </c>
      <c r="B18" s="2">
        <f>COUNTIF('mayo a julio 26'!C12:F12,"si")</f>
        <v>0</v>
      </c>
      <c r="C18">
        <f>COUNTIF('mayo a julio 26'!C12:F12,"no")</f>
        <v>0</v>
      </c>
    </row>
    <row r="19" spans="1:3" ht="43.2" x14ac:dyDescent="0.3">
      <c r="A19" s="1" t="s">
        <v>3</v>
      </c>
      <c r="B19" s="2">
        <f>COUNTIF('mayo a julio 26'!C13:F13,"si")</f>
        <v>0</v>
      </c>
      <c r="C19">
        <f>COUNTIF('mayo a julio 26'!C13:F13,"no")</f>
        <v>0</v>
      </c>
    </row>
    <row r="20" spans="1:3" ht="43.2" x14ac:dyDescent="0.3">
      <c r="A20" s="1" t="s">
        <v>4</v>
      </c>
      <c r="B20" s="2">
        <f>COUNTIF('mayo a julio 26'!C19:F19,"si")</f>
        <v>0</v>
      </c>
      <c r="C20">
        <f>COUNTIF('mayo a julio 26'!C19:F19,"no")</f>
        <v>0</v>
      </c>
    </row>
    <row r="21" spans="1:3" ht="28.8" x14ac:dyDescent="0.3">
      <c r="A21" s="1" t="s">
        <v>5</v>
      </c>
      <c r="B21" s="2" t="e">
        <f>COUNTIF('mayo a julio 26'!#REF!,"si")</f>
        <v>#REF!</v>
      </c>
      <c r="C21" t="e">
        <f>COUNTIF('mayo a julio 26'!#REF!,"no")</f>
        <v>#REF!</v>
      </c>
    </row>
    <row r="22" spans="1:3" ht="28.8" x14ac:dyDescent="0.3">
      <c r="A22" s="1" t="s">
        <v>6</v>
      </c>
      <c r="B22" s="4" t="e">
        <f>COUNTIF('mayo a julio 26'!#REF!,"si")</f>
        <v>#REF!</v>
      </c>
      <c r="C22" t="e">
        <f>COUNTIF('mayo a julio 26'!#REF!,"no")</f>
        <v>#REF!</v>
      </c>
    </row>
    <row r="23" spans="1:3" x14ac:dyDescent="0.3">
      <c r="B23" s="5"/>
    </row>
    <row r="24" spans="1:3" x14ac:dyDescent="0.3">
      <c r="B24" s="5"/>
    </row>
    <row r="25" spans="1:3" x14ac:dyDescent="0.3">
      <c r="B25" s="5"/>
    </row>
    <row r="26" spans="1:3" x14ac:dyDescent="0.3">
      <c r="B26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mayo a julio 26</vt:lpstr>
      <vt:lpstr>ago a oct 26</vt:lpstr>
      <vt:lpstr>nov 26 a ene 27</vt:lpstr>
      <vt:lpstr>febr a abril 27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S.Generales</dc:creator>
  <cp:lastModifiedBy>Cristian Cardenas Espinoza</cp:lastModifiedBy>
  <dcterms:created xsi:type="dcterms:W3CDTF">2021-09-07T17:52:53Z</dcterms:created>
  <dcterms:modified xsi:type="dcterms:W3CDTF">2026-04-23T21:28:13Z</dcterms:modified>
</cp:coreProperties>
</file>