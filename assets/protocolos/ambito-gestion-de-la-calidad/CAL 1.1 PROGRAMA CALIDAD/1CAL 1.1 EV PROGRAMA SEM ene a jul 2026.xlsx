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861F25E7-2F16-4281-8011-E444AD828012}" xr6:coauthVersionLast="47" xr6:coauthVersionMax="47" xr10:uidLastSave="{00000000-0000-0000-0000-000000000000}"/>
  <bookViews>
    <workbookView xWindow="-108" yWindow="-108" windowWidth="23256" windowHeight="12456" xr2:uid="{00000000-000D-0000-FFFF-FFFF00000000}"/>
  </bookViews>
  <sheets>
    <sheet name="programa de calidad anual" sheetId="2" r:id="rId1"/>
    <sheet name="Carga Gant  2026" sheetId="5" r:id="rId2"/>
    <sheet name="CONSTATABLES" sheetId="1" r:id="rId3"/>
    <sheet name="PROGRAMA DE SUPERVISION" sheetId="4" r:id="rId4"/>
    <sheet name="EXCEL DRIVE" sheetId="6" r:id="rId5"/>
  </sheets>
  <definedNames>
    <definedName name="_xlnm._FilterDatabase" localSheetId="2" hidden="1">CONSTATABLES!$A$1:$V$15</definedName>
  </definedNames>
  <calcPr calcId="181029"/>
</workbook>
</file>

<file path=xl/calcChain.xml><?xml version="1.0" encoding="utf-8"?>
<calcChain xmlns="http://schemas.openxmlformats.org/spreadsheetml/2006/main">
  <c r="N8" i="6" l="1"/>
  <c r="N4" i="6"/>
  <c r="N5" i="6"/>
  <c r="N6" i="6"/>
  <c r="N7" i="6"/>
  <c r="N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4" authorId="0" shapeId="0" xr:uid="{F5AA1E0E-FF05-4EB9-8268-653F5B056F35}">
      <text>
        <r>
          <rPr>
            <b/>
            <sz val="9"/>
            <color indexed="81"/>
            <rFont val="Tahoma"/>
            <charset val="1"/>
          </rPr>
          <t>Autor:</t>
        </r>
        <r>
          <rPr>
            <sz val="9"/>
            <color indexed="81"/>
            <rFont val="Tahoma"/>
            <charset val="1"/>
          </rPr>
          <t xml:space="preserve">
ADJUDICADAS Y ENTREGADAS EN MARZO 2026. EN ESPERA DE INSTALACION</t>
        </r>
      </text>
    </comment>
    <comment ref="D8" authorId="0" shapeId="0" xr:uid="{7E93439D-5FEC-4328-BD77-FE31A1AC9AFF}">
      <text>
        <r>
          <rPr>
            <b/>
            <sz val="9"/>
            <color indexed="81"/>
            <rFont val="Tahoma"/>
            <family val="2"/>
          </rPr>
          <t>Autor:</t>
        </r>
        <r>
          <rPr>
            <sz val="9"/>
            <color indexed="81"/>
            <rFont val="Tahoma"/>
            <family val="2"/>
          </rPr>
          <t xml:space="preserve">
CESFAM, PP Y PLC LISTO. QUEDA CALL UNA VEZ QUE PASE A RAYEN</t>
        </r>
      </text>
    </comment>
    <comment ref="O13" authorId="0" shapeId="0" xr:uid="{45A94D0E-4B34-423C-B450-9B2AC9EEE1B0}">
      <text>
        <r>
          <rPr>
            <b/>
            <sz val="9"/>
            <color indexed="81"/>
            <rFont val="Tahoma"/>
            <family val="2"/>
          </rPr>
          <t>Autor:</t>
        </r>
        <r>
          <rPr>
            <sz val="9"/>
            <color indexed="81"/>
            <rFont val="Tahoma"/>
            <family val="2"/>
          </rPr>
          <t xml:space="preserve">
Plazo final 31-12-26</t>
        </r>
      </text>
    </comment>
    <comment ref="O14" authorId="0" shapeId="0" xr:uid="{6C5E8EF7-45CF-4522-92E4-B118A04A8884}">
      <text>
        <r>
          <rPr>
            <b/>
            <sz val="9"/>
            <color indexed="81"/>
            <rFont val="Tahoma"/>
            <family val="2"/>
          </rPr>
          <t>Autor:</t>
        </r>
        <r>
          <rPr>
            <sz val="9"/>
            <color indexed="81"/>
            <rFont val="Tahoma"/>
            <family val="2"/>
          </rPr>
          <t xml:space="preserve">
Plazo final 31-12-26</t>
        </r>
      </text>
    </comment>
    <comment ref="G15" authorId="0" shapeId="0" xr:uid="{A9CF6FE3-B9A3-4DEB-9D2F-BFBFBDB055EF}">
      <text>
        <r>
          <rPr>
            <b/>
            <sz val="9"/>
            <color indexed="81"/>
            <rFont val="Tahoma"/>
            <family val="2"/>
          </rPr>
          <t>Autor:</t>
        </r>
        <r>
          <rPr>
            <sz val="9"/>
            <color indexed="81"/>
            <rFont val="Tahoma"/>
            <family val="2"/>
          </rPr>
          <t xml:space="preserve">
plazo final 30-4</t>
        </r>
      </text>
    </comment>
    <comment ref="G16" authorId="0" shapeId="0" xr:uid="{34211DEE-2301-446F-9463-450B54F3C92B}">
      <text>
        <r>
          <rPr>
            <b/>
            <sz val="9"/>
            <color indexed="81"/>
            <rFont val="Tahoma"/>
            <family val="2"/>
          </rPr>
          <t>Autor:</t>
        </r>
        <r>
          <rPr>
            <sz val="9"/>
            <color indexed="81"/>
            <rFont val="Tahoma"/>
            <family val="2"/>
          </rPr>
          <t xml:space="preserve">
plazo final 30-4</t>
        </r>
      </text>
    </comment>
    <comment ref="G17" authorId="0" shapeId="0" xr:uid="{670A129D-3F56-40AD-921A-F2D0012B379C}">
      <text>
        <r>
          <rPr>
            <b/>
            <sz val="9"/>
            <color indexed="81"/>
            <rFont val="Tahoma"/>
            <family val="2"/>
          </rPr>
          <t>Autor:</t>
        </r>
        <r>
          <rPr>
            <sz val="9"/>
            <color indexed="81"/>
            <rFont val="Tahoma"/>
            <family val="2"/>
          </rPr>
          <t xml:space="preserve">
plazo final 30-4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L8" authorId="0" shapeId="0" xr:uid="{20A4B72A-57FC-41E2-8CA7-1FBE1E5DE94B}">
      <text>
        <r>
          <rPr>
            <b/>
            <sz val="9"/>
            <color indexed="81"/>
            <rFont val="Tahoma"/>
            <family val="2"/>
          </rPr>
          <t>Autor:</t>
        </r>
        <r>
          <rPr>
            <sz val="9"/>
            <color indexed="81"/>
            <rFont val="Tahoma"/>
            <family val="2"/>
          </rPr>
          <t xml:space="preserve">
Realizado 26-3-26. En espera de informe</t>
        </r>
      </text>
    </comment>
    <comment ref="U9" authorId="0" shapeId="0" xr:uid="{8D8A7CD7-E378-43A9-AFB3-8780F3ACACDC}">
      <text>
        <r>
          <rPr>
            <b/>
            <sz val="9"/>
            <color indexed="81"/>
            <rFont val="Tahoma"/>
            <family val="2"/>
          </rPr>
          <t>Autor:</t>
        </r>
        <r>
          <rPr>
            <sz val="9"/>
            <color indexed="81"/>
            <rFont val="Tahoma"/>
            <family val="2"/>
          </rPr>
          <t xml:space="preserve">
SE DEBE GENERAR ANALISIS GLOBAL DEL AÑO CON DECISIONES ADOPTADAS</t>
        </r>
      </text>
    </comment>
    <comment ref="U10" authorId="0" shapeId="0" xr:uid="{9A567A65-B831-419A-ACA0-35569AC423F8}">
      <text>
        <r>
          <rPr>
            <b/>
            <sz val="9"/>
            <color indexed="81"/>
            <rFont val="Tahoma"/>
            <family val="2"/>
          </rPr>
          <t>Autor:</t>
        </r>
        <r>
          <rPr>
            <sz val="9"/>
            <color indexed="81"/>
            <rFont val="Tahoma"/>
            <family val="2"/>
          </rPr>
          <t xml:space="preserve">
EN DICIEMBRE DE CADA AÑO ADEMAS SE DEBE EVALUAR EL PLAN ANTERIOR</t>
        </r>
      </text>
    </comment>
    <comment ref="U11" authorId="0" shapeId="0" xr:uid="{A5A4DAD7-F930-4FA4-B606-6AA47A640A86}">
      <text>
        <r>
          <rPr>
            <b/>
            <sz val="9"/>
            <color indexed="81"/>
            <rFont val="Tahoma"/>
            <family val="2"/>
          </rPr>
          <t>Autor:</t>
        </r>
        <r>
          <rPr>
            <sz val="9"/>
            <color indexed="81"/>
            <rFont val="Tahoma"/>
            <family val="2"/>
          </rPr>
          <t xml:space="preserve">
DE TODOS ESTOS PUNTOS SE DEBE HACER UN INFORME ANUAL DEL PLAN</t>
        </r>
      </text>
    </comment>
    <comment ref="U18" authorId="0" shapeId="0" xr:uid="{4E529C9C-74FB-4B74-A14B-6620EC9C35B8}">
      <text>
        <r>
          <rPr>
            <b/>
            <sz val="9"/>
            <color indexed="81"/>
            <rFont val="Tahoma"/>
            <family val="2"/>
          </rPr>
          <t>GENERAR INFORME ANUAL</t>
        </r>
      </text>
    </comment>
  </commentList>
</comments>
</file>

<file path=xl/sharedStrings.xml><?xml version="1.0" encoding="utf-8"?>
<sst xmlns="http://schemas.openxmlformats.org/spreadsheetml/2006/main" count="672" uniqueCount="422">
  <si>
    <t>Objetivos específicos</t>
  </si>
  <si>
    <t>Metas</t>
  </si>
  <si>
    <t>Actividades</t>
  </si>
  <si>
    <t>Plazos</t>
  </si>
  <si>
    <t>Responsable</t>
  </si>
  <si>
    <t>Evidencia</t>
  </si>
  <si>
    <t>Indicador</t>
  </si>
  <si>
    <t>Solicita Hoja de vida de equipos.</t>
  </si>
  <si>
    <t>Solicita check list de verificación semanal de DEA y defibriladores</t>
  </si>
  <si>
    <t>Jefe de Movilización</t>
  </si>
  <si>
    <t>100% cumplimiento.</t>
  </si>
  <si>
    <t xml:space="preserve">Mayor o igual al 75% </t>
  </si>
  <si>
    <t>Unidad de Calidad</t>
  </si>
  <si>
    <t>Pauta de cotejo excel</t>
  </si>
  <si>
    <t>(N° de funcionarios con pauta de cotejo aprobada/N° de funcionarios encuestados)*100</t>
  </si>
  <si>
    <t>Código</t>
  </si>
  <si>
    <t>EQ 2.1</t>
  </si>
  <si>
    <t>AOC 1.1</t>
  </si>
  <si>
    <t>INS 2.1</t>
  </si>
  <si>
    <t>Aplicación de pauta de cotejo digital excel plan de evacuación a 15 personas por TRIMESTRE a fin de evaluar conocimiento del plan</t>
  </si>
  <si>
    <t>Aplicación de pauta de cotejo digital excel código azul a 15 personas por trimestre a fin de evaluar conocimiento del protocolo.</t>
  </si>
  <si>
    <t>RH 4.2</t>
  </si>
  <si>
    <t>Unidad de Calidad/ IAAS</t>
  </si>
  <si>
    <t>Objetivo</t>
  </si>
  <si>
    <t>Umbral</t>
  </si>
  <si>
    <t>Fuente</t>
  </si>
  <si>
    <t>Periodicidad</t>
  </si>
  <si>
    <t>Plazo</t>
  </si>
  <si>
    <t>Evaluación 1° semestre</t>
  </si>
  <si>
    <t>Evaluación 2° semestre</t>
  </si>
  <si>
    <t>Evaluación  Final</t>
  </si>
  <si>
    <t>Anual</t>
  </si>
  <si>
    <t>Listado de asistencia al ciclo de capacitaciones en calidad</t>
  </si>
  <si>
    <t>Encargado de Calidad</t>
  </si>
  <si>
    <t xml:space="preserve">Pantallazo mail </t>
  </si>
  <si>
    <t>1 Ciclo de capacitaciones (3 capacitaciones) sobre diversos tema de calidad asistencial a los gestores de Calidad</t>
  </si>
  <si>
    <t>CARACTERISTICA</t>
  </si>
  <si>
    <t>DP 1.1</t>
  </si>
  <si>
    <t>FEB</t>
  </si>
  <si>
    <t>ENE</t>
  </si>
  <si>
    <t>ABR</t>
  </si>
  <si>
    <t>MAY</t>
  </si>
  <si>
    <t>SEP</t>
  </si>
  <si>
    <t>OCT</t>
  </si>
  <si>
    <t>NOV</t>
  </si>
  <si>
    <t>DIC</t>
  </si>
  <si>
    <t>MA</t>
  </si>
  <si>
    <t>JUN</t>
  </si>
  <si>
    <t>JUL</t>
  </si>
  <si>
    <t>DP 1.3</t>
  </si>
  <si>
    <t>GCL 1.3</t>
  </si>
  <si>
    <t>GCL 3.2</t>
  </si>
  <si>
    <t>AOC 1.2</t>
  </si>
  <si>
    <t>INS 1.1</t>
  </si>
  <si>
    <t>Aplicación de pauta de cotejo digital excel a 30 personas por SEMESTRE a fin de evaluar conocimiento del plan</t>
  </si>
  <si>
    <t>N°</t>
  </si>
  <si>
    <t>UNIDAD</t>
  </si>
  <si>
    <t>OBJETIVO</t>
  </si>
  <si>
    <t>META</t>
  </si>
  <si>
    <t>UMBRAL</t>
  </si>
  <si>
    <t>NOMBRE DEL INDICADOR</t>
  </si>
  <si>
    <t>FÓRMULA</t>
  </si>
  <si>
    <t>METODOLOGÍA</t>
  </si>
  <si>
    <t>FUENTE DE INFORMACIÓN</t>
  </si>
  <si>
    <t>RESPONSABLE</t>
  </si>
  <si>
    <t>PERIODICIDAD</t>
  </si>
  <si>
    <t>DENTAL</t>
  </si>
  <si>
    <t>REALIZAR ACTIVIDAD DE SUPERVISION QUE DAN CUENTA DEL CUMPLIMIENTO DE LA NORMATIVA DE PREVENCION Y CONTROL DE IAAS</t>
  </si>
  <si>
    <t>Primaria: Pauta de supervisión en excel
Secundaria: Informe de resultados del indicador</t>
  </si>
  <si>
    <t>URG</t>
  </si>
  <si>
    <t xml:space="preserve">(N° de personas con pauta de cotejo de técnica de lavado de manos clínico aprobada/N° de personas con pauta de lavado de manos clínico aplicada) *100
</t>
  </si>
  <si>
    <t>ENFERMERAS SECTOR URBANO- RURAL Y EQUIPO DE CALIDAD</t>
  </si>
  <si>
    <t>TOMA DE MUESTRAS</t>
  </si>
  <si>
    <t>POSTA RURAL</t>
  </si>
  <si>
    <t>APK</t>
  </si>
  <si>
    <t xml:space="preserve">(N° de auxiliares de servicio con pauta  de cotejo de  Procedimiento de 
desinfección concurrente  aprobada/ N° de auxiliares de servicio con pauta  de cotejo de procedimiento de  desinfección concurrente  aplicadas)*100
</t>
  </si>
  <si>
    <t xml:space="preserve">Muestreo por conveniencia de 5 
personas semestralmente con una  desviación estándar de 1 y margen  de error de 0.5%. La supervisión  será realizada con pauta de cotejo  automatizada en Excel.
</t>
  </si>
  <si>
    <t>JEFA UNIDAD DE ASEO, ENCARGADA IAAS</t>
  </si>
  <si>
    <t>Constatar conocimiento de plan de evacuación</t>
  </si>
  <si>
    <t xml:space="preserve">Constatar procedimiento de manejo de accidentes relacionados con sangre y fluidos corporales de riesgo </t>
  </si>
  <si>
    <t xml:space="preserve">Constatar conocimiento de protocolo código azul </t>
  </si>
  <si>
    <t>Constatar evaluación periódica de sistema que evalúa respeto de los derechos de los pacientes y la percepción de estos</t>
  </si>
  <si>
    <t>Encargada OIRS</t>
  </si>
  <si>
    <t>Se realiza: SI-NO</t>
  </si>
  <si>
    <t>Último trimestre de cada año</t>
  </si>
  <si>
    <t>Constatar recarga vigente extintores</t>
  </si>
  <si>
    <t>Aplicación pauta de cotejo Anual</t>
  </si>
  <si>
    <t>Aplicación pauta de cotejo cada 3 meses</t>
  </si>
  <si>
    <t>Aplicación pauta de cotejo anual</t>
  </si>
  <si>
    <t>Realizar capacitaciones en prevención incendios</t>
  </si>
  <si>
    <t>Marzo-Junio-Septiembre- Diciembre</t>
  </si>
  <si>
    <t>Agosto</t>
  </si>
  <si>
    <t>Encargado SSGG</t>
  </si>
  <si>
    <t>Responsable institucional del plan de prevención de incendios</t>
  </si>
  <si>
    <t>Comité paritario</t>
  </si>
  <si>
    <t xml:space="preserve">Pauta de cotejo </t>
  </si>
  <si>
    <t>Listado de asistencia</t>
  </si>
  <si>
    <t>(N° de extintores con mantención al día/N° de extintores totales que cuenta CESFAM) *100</t>
  </si>
  <si>
    <t>(N° de redes húmedas que cumplen con 80% de cumplimiento según pauta de cotejo/N° de redes húmedas totales de CESFAM)*100</t>
  </si>
  <si>
    <t>Inspeccionar red húmeda operativa</t>
  </si>
  <si>
    <t>(N° de señaléticas de extintores y red húmeda en buen estado/N° de señaléticas totales de extintores y red húmeda de CESFAM)*100</t>
  </si>
  <si>
    <t>Revisar señalética de extintores</t>
  </si>
  <si>
    <t>(N° de capacitaciones realizadas sobre manejo de red húmeda en CESFAM/ N° de capacitaciones comprometidas en red húmeda en CESFAM)*100</t>
  </si>
  <si>
    <t>(N° de capacitaciones realizadas sobre manejo de extintores en CESFAM/ N° de capacitaciones comprometidas en manejo extintores en CESFAM)*100</t>
  </si>
  <si>
    <t>Simulacro con informe</t>
  </si>
  <si>
    <t>Informe</t>
  </si>
  <si>
    <t>Ejecución simulacro: SI-NO</t>
  </si>
  <si>
    <t>A definir por paritario</t>
  </si>
  <si>
    <t>FARMACIA</t>
  </si>
  <si>
    <t>APF 1.3</t>
  </si>
  <si>
    <t xml:space="preserve">(N° de pautas de cotejo que cumplen con el total de los criterios
establecidos de rotulación según protocolo en el trimestre / N° total  de pautas de cotejo aplicadas en el trimestre)*100
</t>
  </si>
  <si>
    <t xml:space="preserve">Muestreo según promedio de despacho de recetas trimestrales
con calculadora muestral de superintendencia de salud, considerando
margen de error de 0.05% y cumplimiento de 95%. La supervisión 
será realizada con pauta de cotejo automatizada en Excel. 
</t>
  </si>
  <si>
    <t>Primaria: Pauta de cotejo en excel. Secundaria: Informe de resultados del indicador.</t>
  </si>
  <si>
    <t>QUIMICO FARMACEUTICO O JEFE DE FARMACIA</t>
  </si>
  <si>
    <t>95% DE LAS RECETAS DESPACHADAS CUMPLEN CON EL PROCESO DE ROTULACIÓN DE MEDICAMENTOS CRONICOS.</t>
  </si>
  <si>
    <t>Porcentaje de cumplimiento del proceso de rotulación de medicamentos crónicos según protocolo en la Unidad de Farmacia.</t>
  </si>
  <si>
    <t>En</t>
  </si>
  <si>
    <t>Febr</t>
  </si>
  <si>
    <t>Mar</t>
  </si>
  <si>
    <t>Abr</t>
  </si>
  <si>
    <t>May</t>
  </si>
  <si>
    <t>Jun</t>
  </si>
  <si>
    <t>Jul</t>
  </si>
  <si>
    <t>Ago</t>
  </si>
  <si>
    <t>Sep</t>
  </si>
  <si>
    <t>Oct</t>
  </si>
  <si>
    <t>Nov</t>
  </si>
  <si>
    <t>Dic</t>
  </si>
  <si>
    <t>Promedio</t>
  </si>
  <si>
    <t>x</t>
  </si>
  <si>
    <t xml:space="preserve">Febrero y Agosto </t>
  </si>
  <si>
    <t xml:space="preserve">Enero, Abril, Julio, Octubre </t>
  </si>
  <si>
    <t xml:space="preserve">Marzo y Octubre </t>
  </si>
  <si>
    <t>EN</t>
  </si>
  <si>
    <t>AGO</t>
  </si>
  <si>
    <t>PROMEDIO</t>
  </si>
  <si>
    <t>X</t>
  </si>
  <si>
    <t>Población: Muestra por conveniencia con 15 casos en el semestre
La supervisión se hará según pauta supervisión directa según oportunidad</t>
  </si>
  <si>
    <t>MAR</t>
  </si>
  <si>
    <t>RH 3.1</t>
  </si>
  <si>
    <t>REG 1.2</t>
  </si>
  <si>
    <t>REG 1.3</t>
  </si>
  <si>
    <t>REG 1.4</t>
  </si>
  <si>
    <t>Manual de entrega, recepción y conservación de ficha clínica</t>
  </si>
  <si>
    <t>EQ 1.2</t>
  </si>
  <si>
    <t>EQ 2.2</t>
  </si>
  <si>
    <t>INS 3.2</t>
  </si>
  <si>
    <t>Encargados de desarrollo supervisión e indicador</t>
  </si>
  <si>
    <t>Catherine Soto/Natalia Cerón</t>
  </si>
  <si>
    <t>Comité paritario (Natalia Cerón)</t>
  </si>
  <si>
    <t>José Cayul/Beatriz San Martín</t>
  </si>
  <si>
    <t>Comité paritario (Natalia Cerón/ Cristina González)</t>
  </si>
  <si>
    <t>Fotografías</t>
  </si>
  <si>
    <t>EU Sandy Guajardo/ EU María José Solís</t>
  </si>
  <si>
    <t>75% DE LOS RESULTADOS CRITICOS DE LA INSTITUCIÓN SON NOTIFICADOS SEGÚN PROTOCOLO VIGENTE</t>
  </si>
  <si>
    <t>Porcentaje de notificación de resultados críticos según protocolo en laboratorio clínico en el trimestre.</t>
  </si>
  <si>
    <t>Porcentaje de notificación de resultados críticos según protocolo de PAP en el semestre.</t>
  </si>
  <si>
    <t>Porcentaje de notificación de resultados críticos según protocolo de mamografías en el mes.</t>
  </si>
  <si>
    <t>(Nº de resultados críticos de PAP realizados de acuerdo a protocolo en el semestre / Nº total de notificaciones de resultados críticos de PAP efectuadas en el semestre) x 100.</t>
  </si>
  <si>
    <t>(Nº de resultados críticos de mamografías realizados de acuerdo a protocolo en el mes / Nº total de notificaciones de resultados críticos de mamografías efectuadas en el mes) x 100.</t>
  </si>
  <si>
    <t>Se incluyen en la evaluación todos los resultados críticos del mes.</t>
  </si>
  <si>
    <t>Se incluyen en la evaluación todos los resultados críticos del trimestre</t>
  </si>
  <si>
    <t>Se incluyen en la evaluación todos los resultados críticos del semestre</t>
  </si>
  <si>
    <t xml:space="preserve">Sistema Informático de Laboratorio 
Registro de notificación de resultado(s) crítico(s)
</t>
  </si>
  <si>
    <t xml:space="preserve">Planilla de resultados PAP
Registro de notificación de resultado(s) critico(s)
</t>
  </si>
  <si>
    <t xml:space="preserve">Planilla de resultados mamografía (interno o al prestador)
Registro de notificación de resultado(s) crítico(s)
</t>
  </si>
  <si>
    <t>Trimestral</t>
  </si>
  <si>
    <t>Semestral</t>
  </si>
  <si>
    <t>Mensual</t>
  </si>
  <si>
    <t>(Nº de resultados críticos de laboratorio clínico notificados de acuerdo a protocolo en el trimestre / Nº total de resultados críticos de laboratorio clínico en el trimestre) x 100.</t>
  </si>
  <si>
    <t>85% DE CUMPLIMIENTO ALMACENAJE DE VACUNAS EN REFRIGERADOR VACUNATORIO  SEGÚN PROTOCOLO VIGENTE</t>
  </si>
  <si>
    <t>Porcentaje de cumplimiento en almacenaje de vacunas en refrigerador según protocolo vigente en la Unidad de Vacunatorio en el trimestre</t>
  </si>
  <si>
    <t>(N° de características aprobadas según pauta de cotejo en forma de almacenaje de vacunas refrigerador Unidad Vacunatorio en el trimestre/N° de características evaluadas  según pauta de cotejo en forma de almacenaje de vacunas refrigerador Unidad Vacunatorio en el trimestre)*100.</t>
  </si>
  <si>
    <t>Evaluación del total de refrigeradores Unidad de Vacunatorio en el trimestre. La supervisión se hará según pauta directa de cotejo por oportunidad.</t>
  </si>
  <si>
    <t>TM Pía Gálvez</t>
  </si>
  <si>
    <t>Matr. Nataly Cortés F</t>
  </si>
  <si>
    <t>DT LABORATORIO</t>
  </si>
  <si>
    <t>ENCARGADA PROGRAMA MUJER</t>
  </si>
  <si>
    <t>EU Catherine Soto</t>
  </si>
  <si>
    <t>VACUNATORIO</t>
  </si>
  <si>
    <t>PREVENTIR ERRORES DE DISPENSACIÓN DE MEDICAMENTOS EN BASE A PROCEDIMIENTOS ACTUALIZADOS DE LA UNIDAD DE FARMACIA DE CESFAM DR. ORLANDO LEYTON A.</t>
  </si>
  <si>
    <t>ENCARGADA PNI CESFAM</t>
  </si>
  <si>
    <t xml:space="preserve">Porcentaje de aprobación de 
pauta de procedimiento de desinfección  concurrente para el personal de aseo institucional.
</t>
  </si>
  <si>
    <t>Porcentaje de funcionarios que se higienizan las manos según técnica correcta.</t>
  </si>
  <si>
    <t>APL</t>
  </si>
  <si>
    <t>APA</t>
  </si>
  <si>
    <t>API</t>
  </si>
  <si>
    <t>ASEGURAR LA NOTIFICACIÓN OPORTUNA DE SITUACIONES DE RIESGO DETECTADAS A TRAVÉS DE EXÁMENES DIAGNÓSTICOS EN LAS ÁREAS DE: LABORATORIO CLÍNICO, ANATOMÍA PATOLÓGICA (CITOLOGÍA- EXAMEN PAP) E IMAGENOLOGÍA.</t>
  </si>
  <si>
    <t>EVALUAR EL CORRECTO ALMACENAJE DE VACUNAS EN REFRIGERADOR SEGÚN PROTOCOLO PARA PREVENIR EVENTOS ADVERSOS ASOCIADOS.</t>
  </si>
  <si>
    <t>EVALUAR LA CORRECTA EJECUCIÓN DE CURACIONES DE HERIDAS COMPLEJAS SEGÚN PROTOCOLO PARA PREVENIR EVENTOS ADVERSOS ASOCIADOS</t>
  </si>
  <si>
    <t>88% DE CUMPLIMIENTO DE PAUTAS DE COTEJOS APLICADAS APROBADAS</t>
  </si>
  <si>
    <t>(N° de características aprobadas según pauta de cotejo en curaciones de heridas complejas unidades: procedimientos de enfermería, urgencia, postas de salud rurales en el semestre/N° de características evaluadas según pauta de cotejo en curación de heridas complejas unidades: procedimientos de enfermería, urgencia, postas de salud rurales en el semestre)*100</t>
  </si>
  <si>
    <t>ENFERMERAS SECTOR URBANO- RURAL</t>
  </si>
  <si>
    <t>Enfermeras Sector Urbano- Rural</t>
  </si>
  <si>
    <t>Implementar un sistema de mantenimiento preventivo y chequeo periódico de generador eléctrico.</t>
  </si>
  <si>
    <t>Responsable institucional de plan de contingencia en el caso de interrupción de suministro eléctrico: (Esteban León)</t>
  </si>
  <si>
    <t>Pauta de cotejo funcionamiento de generador CESFAM</t>
  </si>
  <si>
    <t>Pauta mensual</t>
  </si>
  <si>
    <t>Esteban León</t>
  </si>
  <si>
    <t>Establecer la inclusión de temática de RCP en plan capacitación anual, asegurando actualización para el personal cada 5 años</t>
  </si>
  <si>
    <t>Encargada Capacitación/Calidad</t>
  </si>
  <si>
    <t>85% del personal clínico de URG, Dental, Toma muestras, SUR capacitados</t>
  </si>
  <si>
    <t xml:space="preserve">75% de todo el personal capacitado </t>
  </si>
  <si>
    <t>Cursos RCP básicos</t>
  </si>
  <si>
    <t>(N° de personas clínicas unidades críticas cuentan con curso RCP/N° total de personal clínico de unidades críticas)*100</t>
  </si>
  <si>
    <t>2022-2023</t>
  </si>
  <si>
    <t>Unidades</t>
  </si>
  <si>
    <t>Toma muestras</t>
  </si>
  <si>
    <t>Denominador</t>
  </si>
  <si>
    <t>Porcentaje</t>
  </si>
  <si>
    <t>Postas TENS</t>
  </si>
  <si>
    <t>Clínicos Postas</t>
  </si>
  <si>
    <t>Dental</t>
  </si>
  <si>
    <t>SUR Clínicos</t>
  </si>
  <si>
    <t>Personal CESFAM y Postas</t>
  </si>
  <si>
    <t>(N° de personas que trabajan en CESFAM y Postas que cuentan con curso RCP/N° total de personal que trabaja en CESFAM y Postas)*100</t>
  </si>
  <si>
    <t>María José Solís/Catherine Soto</t>
  </si>
  <si>
    <t>Dr. Cristian Cárdenas  E</t>
  </si>
  <si>
    <t>URGENCIA</t>
  </si>
  <si>
    <t xml:space="preserve">  ESTANDARIZAR LOS REGISTROS CLÍNICOS Y ADMINISTRATIVOS DE USUARIOS/AS RELEVANTES EN LAS PRESTACIONES REALIZADAS TRAS LA ATENCIÓN EN EL SERVICIO DE URGENCIA RURAL (SUR) PERALILLO.</t>
  </si>
  <si>
    <t>85% DE CUMPLIMIENTO DE PAUTAS DE COTEJOS APLICADAS APROBADAS</t>
  </si>
  <si>
    <t>Porcentaje de informes entregados a los usuarios/as con información de prestaciones realizadas e indicaciones según protocolo vigente.</t>
  </si>
  <si>
    <t>(N° de DAU que cuentan con correcto llenado de los mínimos requeridos en el presente protocolo en el semestre/ N° total de DAU en el semestre)*100</t>
  </si>
  <si>
    <t xml:space="preserve">Población: Corresponde a una muestra determinada según el total de atenciones realizadas en el semestre 2023 (3509 atenciones), utilizando la calculadora SIS con un umbral de cumplimiento del 85% y margen de error de 5% en el semestre. La muestra correspondió a 186 DAU por semestre
La supervisión se hará de forma indirecta, por oportunidad, mediante registros con pauta de cotejo hasta cumplir con la muestra requerida.
</t>
  </si>
  <si>
    <t xml:space="preserve">Primaria: DAU, pauta de cotejo.
Secundaria: REM anual año 2023
</t>
  </si>
  <si>
    <t>ENCARGADO DE CALIDAD</t>
  </si>
  <si>
    <t>SUR. POSTAS, EMR</t>
  </si>
  <si>
    <t>Enfermeras Sector Urbano- Rural, médico SUR</t>
  </si>
  <si>
    <t>ESTANDARIZAR EL PROCEDIMIENTO DE ADMINISTRACIÓN DE MEDICAMENTOS VÍA INTRAMUSCULAR Y MANEJO DEL ACCESO INTRAMUSCULAR, CONSIDERANDO LA PREVENCIÓN DE IAAS Y EVENTOS ADVERSOS ASOCIADOS.</t>
  </si>
  <si>
    <t>Porcentaje de cumplimiento de pauta de supervisión de administración de medicamentos vía intramuscular.</t>
  </si>
  <si>
    <t>(Nº de administración de medicamentos vía intramuscular con cumplimiento Aprobado de pauta de cotejo/ N° total de administración de medicamentos vía intramuscular con pauta de cotejo aplicada)x 100</t>
  </si>
  <si>
    <t>Muestreo: Según conveniencia y oportunidad. No se especifica en este caso número de muestra mínima</t>
  </si>
  <si>
    <t>Primaria: Pauta de cotejo. Secundaria: Registro ficha clínica.</t>
  </si>
  <si>
    <t>Primaria;: Pauta de Cotejo</t>
  </si>
  <si>
    <t>ENFERMERAS SECTOR URBANO-RURAL Y MÉDICO SUR</t>
  </si>
  <si>
    <t>ESTANDARIZAR LOS REGISTROS CLÍNICOS Y ADMINISTRATIVOS QUE DEBE CONTENER LA FICHA CLÍNICA EN CADA ATENCIÓN REALIZADA EN CESFAM, SUR  Y POSTAS DE SALUD RURALES.</t>
  </si>
  <si>
    <t>85% DE CUMPLIMIENTO DE PAUTA DE COTEJOS APLICADAS APROBADAS</t>
  </si>
  <si>
    <t>Porcentaje  de registros D.A.U. que cumplen con los contenidos mínimos a llenar según el presente protocolo, Servicio de Urgencia Rural (S.U.R) según periodo de evaluación semestral.</t>
  </si>
  <si>
    <t xml:space="preserve">(Número de registros D.A.U. evaluados, que cumplen con los requisitos de completitud según protocolo vigente en el Servicio de Urgencia Rural (S.U.R) en el semestre/
Número de registros evaluados en el Servicio de Urgencia Rural (S.U.R) en el semestre)*100
</t>
  </si>
  <si>
    <t xml:space="preserve">Población: Corresponde a una muestra determinada según el total de atenciones realizadas en el semestre 2023 (3509 atenciones), utilizando el escenario N°1 de calculadora SIS con un umbral de cumplimiento del 85% y margen de error de 5% en el semestre. La muestra correspondió a 186 DAU por semestre.
La selección de la muestra será por muestreo aleatorio simple, numerando los DAU de forma mensual.
La supervisión se hará de forma indirecta, mediante registros clínicos con pauta de cotejo hasta cumplir con la muestra requerida.
</t>
  </si>
  <si>
    <t>75% DE CUMPLIMIENTO DE PAUTA DE COTEJOS APLICADAS APROBADAS</t>
  </si>
  <si>
    <t>Porcentaje  de registros clínicos odontológicos que cumplen con los contenidos mínimos a llenar según el presente protocolo, en atención de urgencia odontológica según periodo de evaluación semestral.</t>
  </si>
  <si>
    <t>(Número de registros clínicos odontológicos de urgencia  odontológica evaluados, que cumplen con los requisitos de completitud según protocolo vigente en CESFAM en el semestre/ Número de registros  clínicos odontológicos  de urgencia  odontológica  evaluados en CESFAM en el semestre)*100</t>
  </si>
  <si>
    <t xml:space="preserve">Se obtiene muestra estándar considerando el escenario N°1 de la calculadora muestral de SIS: Número total de urgencias odontológicas estimadas en el semestre: 960 con un 75% de porcentaje de cumplimiento y un margen de error del 10%. Se obtiene una muestra estándar de 67 casos en el semestre (12 casos por mes).
La selección de la muestra será por conveniencia según oportunidad.
La supervisión se hará de forma indirecta, mediante registros clínicos con pauta de cotejo hasta cumplir con la muestra requerida.
</t>
  </si>
  <si>
    <t xml:space="preserve">Primaria: Fichas clínicas electrónicas, pauta de cotejo.
Secundaria: Hoja diaria.
</t>
  </si>
  <si>
    <t>CONSULTAS AMBULATORIAS- SOME CESFAM</t>
  </si>
  <si>
    <t>Porcentaje  de registros clínicos que cumplen con los contenidos mínimos a llenar según el presente protocolo, en atención de morbilidad médica según periodo de evaluación semestral en CESFAM, Posta Población y Posta Los Cardos</t>
  </si>
  <si>
    <t>(Número de registros clínicos evaluados, que cumplen con los requisitos de completitud según protocolo vigente en atención de Morbilidad médica CESFAM en el semestre/ Número de registros  clínicos de morbilidad médica evaluados en CESFAM en el semestre)*100</t>
  </si>
  <si>
    <t xml:space="preserve">Se obtiene muestra estándar considerando el escenario N°2 de la calculadora muestral de SIS: Un 75% de porcentaje de cumplimiento y un margen de error del 10%. Se obtiene una muestra estándar de 72 casos en el semestre para cada establecimiento (12 casos por mes por cada establecimiento).
La selección de la muestra será por conveniencia según oportunidad.
La supervisión se hará de forma indirecta, mediante registros clínicos con pauta de cotejo hasta cumplir con la muestra requerida.
</t>
  </si>
  <si>
    <t xml:space="preserve">Primaria: Fichas clínicas electrónicas, pauta de cotejo.
Secundaria: Hoja diaria. 
</t>
  </si>
  <si>
    <t>POSTA POBLACION</t>
  </si>
  <si>
    <t>(Número de registros clínicos evaluados, que cumplen con los requisitos de completitud según protocolo vigente en atención de Morbilidad médica Posta Población en el semestre/ Número de registros  clínicos de morbilidad médica evaluados en Posta Población en el semestre)*100</t>
  </si>
  <si>
    <t>POSTA LOS CARDOS</t>
  </si>
  <si>
    <t>(Número de registros clínicos evaluados, que cumplen con los requisitos de completitud según protocolo vigente en atención de Morbilidad médica Posta Los Cardos en el semestre/ Número de registros  clínicos de Morbilidad médica evaluados en Posta Los Cardos en el semestre)*100</t>
  </si>
  <si>
    <t>POSTA CALLEUQUE</t>
  </si>
  <si>
    <t>Porcentaje  de registros clínicos que cumplen con los contenidos mínimos a llenar según el presente protocolo, en atención de morbilidad médica según periodo de evaluación semestral en Posta Calleuque.</t>
  </si>
  <si>
    <t>(Número de registros clínicos evaluados, que cumplen con los requisitos de completitud según protocolo vigente en atención de Morbilidad médica Posta Calleuque en el semestre/ Número de registros  clínicos de morbilidad médica evaluados en Posta Calleuque en el semestre)*100</t>
  </si>
  <si>
    <t xml:space="preserve">Se obtiene muestra estándar considerando el escenario N°2 de la calculadora muestral de SIS: Un 75% de porcentaje de cumplimiento y un margen de error del 10%. Se obtiene una muestra estándar de 72 casos en el semestre (12 casos por mes).
La selección de la muestra será por conveniencia según oportunidad.
La supervisión se hará de forma indirecta, mediante registros clínicos con pauta de cotejo hasta cumplir con la muestra requerida.
</t>
  </si>
  <si>
    <t xml:space="preserve">Primaria: Fichas clínicas, pauta de cotejo.
Secundaria: Cuaderno de registro diario. 
</t>
  </si>
  <si>
    <t>Daniela Guerrero</t>
  </si>
  <si>
    <t>Karen Espinoza</t>
  </si>
  <si>
    <t>Sandra Galaz</t>
  </si>
  <si>
    <t>PRO ENFERMERIA, URG, POSTA RURAL</t>
  </si>
  <si>
    <t>Cristian Cárdenas</t>
  </si>
  <si>
    <t>Conmemorar hitos relevantes de calidad en la institución: 13 de Septiembre celebración de día mundial de la seguridad del paciente: Premio a funcionario que se destaque en la seguridad asistencial (2 personas: 1 urbano y 1 rural)</t>
  </si>
  <si>
    <t>Abraham Muñoz</t>
  </si>
  <si>
    <t>Departamento de Salud/ Dirección CESFAM</t>
  </si>
  <si>
    <t>Establecer sistema de seguimiento de vida útil de equipamiento crítico y relevante institucional</t>
  </si>
  <si>
    <t>Responsable institucional de mantenimiento de equipamiento Crítico (Esteban León)</t>
  </si>
  <si>
    <t>Esteban León/ Víctor Osorio</t>
  </si>
  <si>
    <t>Porcentaje de cumplimiento procedimiento de curación herida compleja según protocolo vigente en las unidades de procedimiento de enfermería, urgencia, postas de salud rurales en el semestre</t>
  </si>
  <si>
    <t>APL 1.1</t>
  </si>
  <si>
    <t>Acreditación super salud de HSC y HFRZ para realizar exámenes de laboratorio</t>
  </si>
  <si>
    <t>APL 1.2</t>
  </si>
  <si>
    <t>Documento de procedimientos toma de muestra: preparación del paciente, toma de muestra, rotulación, traslado, criterios de rechazo.</t>
  </si>
  <si>
    <t>TM Juan Francisco Contreras</t>
  </si>
  <si>
    <t>APL 1.3</t>
  </si>
  <si>
    <t>Documento de técnica de ejecución de exámenes, protocolo control de calidad interno, tiempo de respuesta de exámenes</t>
  </si>
  <si>
    <t>APL 1.4</t>
  </si>
  <si>
    <t>1 Capacitación funcionarios manejo red húmeda anual</t>
  </si>
  <si>
    <t>1 Capacitación funcionarios manejo extintores anual</t>
  </si>
  <si>
    <t>Juan Herrera</t>
  </si>
  <si>
    <t>QF Jorge López</t>
  </si>
  <si>
    <t>EU María José Solis/ Dr.Christian Rolle/Encargado de Calidad</t>
  </si>
  <si>
    <t>SUR PERALILLO</t>
  </si>
  <si>
    <t>CONTRIBUIR A LA REDUCCIÓN DE EVENTOS ADVERSOS Y EVENTOS CENTINELAS RELACIONADOS CON LA IDENTIFICACIÓN ERRÓNEA DEL PACIENTE</t>
  </si>
  <si>
    <t>NA</t>
  </si>
  <si>
    <t>Pauta de supervisión según oportunidad. No contempla indicador</t>
  </si>
  <si>
    <t>Primaria: Pauta de cotejo.</t>
  </si>
  <si>
    <t>Pauta de verificación de MP Equipamientos relevantes</t>
  </si>
  <si>
    <t>Coordinador de mantenimiento general y preventivo/Encargada SUR</t>
  </si>
  <si>
    <t>Pauta de evaluación de MP, registros de mantenimiento</t>
  </si>
  <si>
    <t>APF 1.4</t>
  </si>
  <si>
    <t>ESTABLECER CONDICIONES MÍNIMAS DE ALMACENAJE DE MEDICAMENTOS EN CARRO DE PARO SUR</t>
  </si>
  <si>
    <t>Porcentaje de pautas de cotejo aprobadas sobre condiciones físicas de almacenamiento de medicamentos en carro de paro SUR en el semestre.</t>
  </si>
  <si>
    <t>(N° de pautas de cotejo aprobadas sobre condiciones físicas de almacenamiento de medicamentos en carro de paro SUR en el semestre/N° de pautas de cotejo aplicadas sobre condiciones físicas de almacenamiento de medicamentos en carro de paro SUR en el semestre)*100</t>
  </si>
  <si>
    <t>Se realizará una muestra por conveniencia semestral de 12 pautas de cotejo según oportunidad en cada semestre (aplicación de 2 pautas mensuales) realizadas en carro de paro SUR</t>
  </si>
  <si>
    <t>Pauta de cotejo</t>
  </si>
  <si>
    <t>Protocolo identificación del paciente</t>
  </si>
  <si>
    <t>ENCARGADA CARRO DE PARO SUR</t>
  </si>
  <si>
    <t>EU María José Solís</t>
  </si>
  <si>
    <t>Registros de participación en programa de evaluación externa de calidad con plan de mejora</t>
  </si>
  <si>
    <t>Octubre a noviembre</t>
  </si>
  <si>
    <t>Población: Corresponde a una muestra por conveniencia (SUR- PRO enfermería 15 muestras por semestre cada una. Postas 5 muestras por semestre cada una. La supervisión se hará según pauta directa por oportunidad hasta cumplir con la muestra requerida</t>
  </si>
  <si>
    <t>75% DE LAS PAUTAS DE COTEJO APLICADAS SON APROBADAS</t>
  </si>
  <si>
    <t>PROGRAMA DE CALIDAD ASISTENCIAL CESFAM DR. ORLANDO LEYTON A. PERALILLO: ENERO A DICIEMBRE DE 2026</t>
  </si>
  <si>
    <t>Desarrollar un programa de capacitación para los funcionarios/as de CESFAM Dr. Orlando Leyton A y Postas orientado a profundizar los conocimientos en relación al mejoramiento de la calidad y seguridad al usuario/a</t>
  </si>
  <si>
    <t>30 de Noviembre de 2026</t>
  </si>
  <si>
    <t>31 de diciembre de 2026</t>
  </si>
  <si>
    <t>Se envía informe de calidad semestral a Direcciones de Salud : SI-NO</t>
  </si>
  <si>
    <t>Fortalecer la cultura de calidad y seguridad al equipo de salud.</t>
  </si>
  <si>
    <t>2 intervenciones masivas a los funcionarios/as de CESFAM y/o postas sobre los protocolos que se encuentren con más bajo nivel de constatación</t>
  </si>
  <si>
    <t>Acta de constancia en CTA u otras reuniones técnicas</t>
  </si>
  <si>
    <t>31 de Diciembre de 2026</t>
  </si>
  <si>
    <t>Documento SEREMI con Demostración/autorización sanitaria de Postas</t>
  </si>
  <si>
    <t>CARTA GANT DE TRABAJO PROTOCOLOS/DOCUMENTOS CALIDAD ENERO A DICIEMBRE DE 2026</t>
  </si>
  <si>
    <t>Adquirir nuevas cartas de derechos y deberes según normativa 2025</t>
  </si>
  <si>
    <t>Beatriz San Martín/Sandy Guajardo</t>
  </si>
  <si>
    <t>Normalización de Postas de salud rurales: Autorización/Demostración sanitaria</t>
  </si>
  <si>
    <t>APE 1.2</t>
  </si>
  <si>
    <t>Documento de etapas lavado y preparación de materiales de forma centralizada</t>
  </si>
  <si>
    <t>Catherine Soto</t>
  </si>
  <si>
    <t>APE 1.3</t>
  </si>
  <si>
    <t>Documento métodos esterilización, procedimiento de transporte hasta distribución de material estéril</t>
  </si>
  <si>
    <t>APE 1.4</t>
  </si>
  <si>
    <t>Protocolo de procedimiento de almacenamiento de material estéril</t>
  </si>
  <si>
    <t>APT 1.2</t>
  </si>
  <si>
    <t>Protocolo de procedimiento de fijación y disposición de pacientes en ambulancias</t>
  </si>
  <si>
    <t>Esteban León/María José Solís</t>
  </si>
  <si>
    <t>API 1.1</t>
  </si>
  <si>
    <t>Autorización sanitaria de empresa que se adjudica licitación de imágenes diagnósticas (Anual)</t>
  </si>
  <si>
    <t>Gemita Castro</t>
  </si>
  <si>
    <t>APK 1.2</t>
  </si>
  <si>
    <t>Documento de requisitos preparación usuarios para kinesioterapia respiratoria</t>
  </si>
  <si>
    <t>APK 1.3</t>
  </si>
  <si>
    <t>Documento con contraindicaciones de ejecución de procedimientos específicos</t>
  </si>
  <si>
    <t>Resguardar las condiciones mínimas de seguridad en cuanto a infraestructura, equipamiento y DM relacionados con la atención del paciente.</t>
  </si>
  <si>
    <t>Renovación de redes húmedas de Posta Los Cardos- Calleuque según necesidad</t>
  </si>
  <si>
    <t>Se renuevan redes húmedas de Postas: Si-NO</t>
  </si>
  <si>
    <t>Orden de compra de redes húmedas</t>
  </si>
  <si>
    <t>Resguardar las condiciones de seguridad en relación con procesos asistenciales contenidas en normas de seguridad del paciente y estándares de acreditación correspondiente</t>
  </si>
  <si>
    <t>Excel tabla maestra por año</t>
  </si>
  <si>
    <t>*** A trabajar para 2028: fortalecimiento de sistema de vigilancias gestión de riesgo clínico y brechas de cultura de seguridad (aplicación de encuestas con plan de mejora)</t>
  </si>
  <si>
    <t>AÑO 2026</t>
  </si>
  <si>
    <t>1 Capacitación al equipo de salud sobre gestión de calidad</t>
  </si>
  <si>
    <t>Dar a conocer a Jefes de Unidades en reunión técnica los indicadores relevantes para la seguridad asistencial</t>
  </si>
  <si>
    <t>Promover la cultura de seguridad a nivel institucional donde las jefaturas son actores relevantes del proceso de mejora institucional.</t>
  </si>
  <si>
    <t>Envío de informe  vía mail a dirección Departamento de Salud y CESFAM con la evaluación semestral de programa de calidad asistencial</t>
  </si>
  <si>
    <t>Se da a conocer indicadores de calidad en reunión técnica de jefes de unidades: SI-NO</t>
  </si>
  <si>
    <t>Acta de reunión jefes de unidades donde se especifique que fue desarrollado este punto.</t>
  </si>
  <si>
    <t>Catherine Soto/Katalina Guerrero/María José Solís/Katherinne Cáceres</t>
  </si>
  <si>
    <t>Sector Rural: Abraham Muñoz, sector Urbano: Catherine Soto y Natalia Cerón</t>
  </si>
  <si>
    <t>Sandy Guajardo/César Veas</t>
  </si>
  <si>
    <t>Nely Pereira/Emilio Díaz</t>
  </si>
  <si>
    <t>Beatriz San Martín/Antonieta Caris</t>
  </si>
  <si>
    <t>SOME CESFAM</t>
  </si>
  <si>
    <t>CONTAR CON UN SISTEMA ESTANDARIZADO DE REGISTROS DE DATOS CLÍNICOS Y ADMINISTRATIVOS DE LOS PACIENTES EN CESFAM DR. ORLANDO LEYTON A, POSTA POBLACIÓN Y POSTA LOS CARDOS.</t>
  </si>
  <si>
    <t>80% DE LAS PAUTAS DE COTEJO APLICADAS CUMPLEN CON LOS REQUERIMIENTOS DE PROTOCOLO</t>
  </si>
  <si>
    <t>Proporción de Fichas Clínicas recepcionadas según procedimiento descrito en la Unidad de SOME CESFAM en el semestre de cada año.</t>
  </si>
  <si>
    <t>(Número de Fichas Clínicas evaluadas recepcionadas en Archivo según procedimiento en el semestre/ Número de Fichas Clínicas evaluadas recepcionadas en Archivo en el Semestre) *100</t>
  </si>
  <si>
    <t>Se establece un tamaño muestral por conveniencia de 15 casos por semestre. La supervisión se hará según pauta directa por oportunidad hasta cumplir con la muestra requerida. En caso de ser la muestra menor a lo programado, se realizará la supervision al total de casos detectados.</t>
  </si>
  <si>
    <t xml:space="preserve">Fichas Clínicas evaluadas.
Registros de la Unidad de Archivo-SOME del procedimiento de recepción de Fichas Clínicas.
Pautas de evaluación de recepción de Fichas Clínicas en Archivo (Anexo 4)
</t>
  </si>
  <si>
    <t>JEFA DE SOME</t>
  </si>
  <si>
    <t>GCL 2.2</t>
  </si>
  <si>
    <t>Cristian Cárdenas, Encargado de Calidad</t>
  </si>
  <si>
    <t>Diciembre</t>
  </si>
  <si>
    <r>
      <t xml:space="preserve">Elaboración de informe en Agosto de cada año </t>
    </r>
    <r>
      <rPr>
        <sz val="11"/>
        <color rgb="FF0070C0"/>
        <rFont val="Calibri"/>
        <family val="2"/>
        <scheme val="minor"/>
      </rPr>
      <t>(antes de PAC del año venidero)</t>
    </r>
  </si>
  <si>
    <t>Elaboración de Informe anual de EA</t>
  </si>
  <si>
    <t>Fortalecer la gestión de riesgo a nivel institucional</t>
  </si>
  <si>
    <t>85% DE FUNCIONARIOS QUE SE HIGIENIZAN LAS MANOS SEGÚN TÉCNICA CORRECTA</t>
  </si>
  <si>
    <t>80% DE LAS AUXILIARES DE SERVICIO CUMPLEN CON LA PAUTA DE ASEO CONCURRENTE EN LOS DIVERSOS SERVICIOS DE PUNTOS DE VERIFICACION</t>
  </si>
  <si>
    <t xml:space="preserve">RECORDAR: </t>
  </si>
  <si>
    <t>DESDE AÑO 2026 SE DEBE COMPLETAR DRIVE POR VERIFICADOR</t>
  </si>
  <si>
    <r>
      <t xml:space="preserve">Constatar el mantenimiento preventivo de ambulancias, defibriladores-DEA- Monitor multiparámetro EQ Crítico </t>
    </r>
    <r>
      <rPr>
        <b/>
        <sz val="11"/>
        <color rgb="FFFF0000"/>
        <rFont val="Calibri"/>
        <family val="2"/>
        <scheme val="minor"/>
      </rPr>
      <t>(Nueva pauta desde 2026)</t>
    </r>
  </si>
  <si>
    <t>Pauta de cotejo de MP</t>
  </si>
  <si>
    <t>Sin indicador. Se realizará revisión de pauta de MP según PMP</t>
  </si>
  <si>
    <t>Check List semanal</t>
  </si>
  <si>
    <t>Solicita chequeo preventivo de ambulancias</t>
  </si>
  <si>
    <t>Sin indicador. Se realizará revisión de pauta de MP según PMP junto a check list semanal</t>
  </si>
  <si>
    <r>
      <t xml:space="preserve">Constatar mantenimiento preventivo de equipamientos relevantes </t>
    </r>
    <r>
      <rPr>
        <b/>
        <sz val="11"/>
        <color rgb="FFFF0000"/>
        <rFont val="Calibri"/>
        <family val="2"/>
        <scheme val="minor"/>
      </rPr>
      <t>(Desde Febrero 2026 en adelante)- Ver si es necesario cambiar los meses de constatación</t>
    </r>
  </si>
  <si>
    <t>Realizar 241 encuestas o 121 encuestas para validarlas</t>
  </si>
  <si>
    <r>
      <t xml:space="preserve">Aplicación de 241 o </t>
    </r>
    <r>
      <rPr>
        <sz val="11"/>
        <color rgb="FFFF0000"/>
        <rFont val="Calibri"/>
        <family val="2"/>
        <scheme val="minor"/>
      </rPr>
      <t xml:space="preserve">121 </t>
    </r>
    <r>
      <rPr>
        <sz val="11"/>
        <color theme="1"/>
        <rFont val="Calibri"/>
        <family val="2"/>
        <scheme val="minor"/>
      </rPr>
      <t>encuestas en los 3 dispositivos de salud comunales</t>
    </r>
  </si>
  <si>
    <t>Informe de resultados y plan de mejora</t>
  </si>
  <si>
    <t>(N° de ciclos de capacitación realizados/N° de ciclos programados)*100</t>
  </si>
  <si>
    <t>(N° de  capacitaciones realizadas/N° de capacitaciones programadas) *100</t>
  </si>
  <si>
    <t>(N° de  intervenciones realizadas/N° de intervenciones programadas) *100</t>
  </si>
  <si>
    <t>(N° de personas con distinción en seguridad asistencial/N° de personas comprometidas en distinción en seguridad asistencial) *100</t>
  </si>
  <si>
    <t>Reuniones de coordinación entre Departamento de Salud, prevencionista de riesgo municipal, Calidad, Jefa de Sector Rural. Elaboración y revisión de protocolos en contexto de prevención de riesgos, presentación de carpeta con antecedentes en SEREMI de Salud para Posta Población</t>
  </si>
  <si>
    <t>(N° de postas en autorización/demostración sanitaria vigente en la Comuna de Peralillo/N° de postas habilitadas en la Comuna de Peralillo) *100</t>
  </si>
  <si>
    <t>(N° de protocolos de calidad actualizados año 2026/N° de protocolos de calidad programados para actualizar año 2026) *100</t>
  </si>
  <si>
    <t>30 de Julio de 2026</t>
  </si>
  <si>
    <t>Promover una cultura de seguridad para mitigar o disminuir los eventos adversos y centinelas a nivel institucional.</t>
  </si>
  <si>
    <t>N° de notificaciones de EA/EC recepcionadas durante el año 2026</t>
  </si>
  <si>
    <t>Establecer línea base</t>
  </si>
  <si>
    <t>Documento de notificación de EA/EC institucional</t>
  </si>
  <si>
    <t>Monitoreo de notificaciones de EA/EC recibidas a nivel institucional.</t>
  </si>
  <si>
    <t>Durante el primer semestre</t>
  </si>
  <si>
    <t>Difusión por medio de capacitaciones al equipo de salud que trabaja en unidades de SUR,Vacunatorio, Farmacia, Dental, Servicios de movilización, Laboratorio, Mater sobre notificación de protocolo de EA/EC institucional.</t>
  </si>
  <si>
    <t>(N° de funcionarios/as que trabajan en unidades de SUR,Vacunatorio, Farmacia, Dental, Servicios de movilización, Laboratorio, Mater con capacitación realizada a julio 2026/N° total de funcionarios/as que trabajan en unidades de SUR,Vacunatorio, Farmacia, Dental, Servicios de movilización, Laboratorio, Mater a julio 2026)*100</t>
  </si>
  <si>
    <t>Realizar actualización de protocolos institucionales que sustentar el proceso de acreditación en atención abierta con término de vigencia</t>
  </si>
  <si>
    <t>0/0:100%</t>
  </si>
  <si>
    <t>Fecha de última actualización</t>
  </si>
  <si>
    <t>Lorena Piña</t>
  </si>
  <si>
    <t>Rafael Monsalves</t>
  </si>
  <si>
    <t>María José Tobar</t>
  </si>
  <si>
    <t>Marcos Jiménez</t>
  </si>
  <si>
    <t>Vivianne Barroso</t>
  </si>
  <si>
    <t>Catalina Saavedra</t>
  </si>
  <si>
    <t>Alejandro Cabezas</t>
  </si>
  <si>
    <t>José Francisco Núñez</t>
  </si>
  <si>
    <t>Aracely Gutiérrez</t>
  </si>
  <si>
    <t>Gabriel Asencio</t>
  </si>
  <si>
    <t>*** Brechas de personal para curso RCP básico con plazo hasta 30-11-2026 (enviado mail 2-3-2026):</t>
  </si>
  <si>
    <t>*** A trabajar para 2027: Documento de inducción laboral en seguridad asistencial y difusión de indicadores de calidad con la comunidad</t>
  </si>
  <si>
    <t>Matías Miranda</t>
  </si>
  <si>
    <t>1/1:100%</t>
  </si>
  <si>
    <t>12-3-26: Se dan a conocer indicadores en reunión Jefes de Programa (pendiente acta)</t>
  </si>
  <si>
    <t>25-3-26: Protocolo eventos adversos en CTA (Pendiente acta)</t>
  </si>
  <si>
    <t>Reunión enero 2026 donde se establecen puntos a realizar por Dpto de Salud y dirección. Apoyo de prevencionista de Municipalidad</t>
  </si>
  <si>
    <t xml:space="preserve">SI, 18-3-26: Se instalan redes húmedas en ambas postas. </t>
  </si>
  <si>
    <t>Comienzo difusión en Marzo de 2026 protocolo de EA</t>
  </si>
  <si>
    <r>
      <t xml:space="preserve">ACTUALIZACIÓN CODIGO AZUL, </t>
    </r>
    <r>
      <rPr>
        <sz val="11"/>
        <color rgb="FF00B050"/>
        <rFont val="Calibri"/>
        <family val="2"/>
        <scheme val="minor"/>
      </rPr>
      <t xml:space="preserve">ADQUISICION DE REDES HÚMEDAS, </t>
    </r>
    <r>
      <rPr>
        <sz val="11"/>
        <color theme="1"/>
        <rFont val="Calibri"/>
        <family val="2"/>
        <scheme val="minor"/>
      </rPr>
      <t>CEC,CEA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</si>
</sst>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rgb="FFFF0000"/>
      <name val="Calibri"/>
      <family val="2"/>
      <scheme val="minor"/>
    </font>
    <font>
      <sz val="18"/>
      <color theme="1"/>
      <name val="Calibri"/>
      <family val="2"/>
      <scheme val="minor"/>
    </font>
    <font>
      <sz val="11"/>
      <color theme="1"/>
      <name val="Calibri"/>
      <family val="2"/>
      <scheme val="minor"/>
    </font>
    <font>
      <b/>
      <sz val="14"/>
      <name val="Calibri"/>
      <family val="2"/>
      <scheme val="minor"/>
    </font>
    <font>
      <sz val="11"/>
      <color rgb="FF0070C0"/>
      <name val="Calibri"/>
      <family val="2"/>
      <scheme val="minor"/>
    </font>
    <font>
      <b/>
      <sz val="11"/>
      <color rgb="FFFF0000"/>
      <name val="Calibri"/>
      <family val="2"/>
      <scheme val="minor"/>
    </font>
    <font>
      <b/>
      <i/>
      <sz val="11"/>
      <color rgb="FFFF0000"/>
      <name val="Calibri"/>
      <family val="2"/>
      <scheme val="minor"/>
    </font>
    <font>
      <sz val="9"/>
      <color indexed="81"/>
      <name val="Tahoma"/>
      <family val="2"/>
    </font>
    <font>
      <b/>
      <sz val="9"/>
      <color indexed="81"/>
      <name val="Tahoma"/>
      <family val="2"/>
    </font>
    <font>
      <sz val="11"/>
      <name val="Calibri"/>
      <family val="2"/>
      <scheme val="minor"/>
    </font>
    <font>
      <b/>
      <sz val="18"/>
      <color theme="4"/>
      <name val="Calibri"/>
      <family val="2"/>
      <scheme val="minor"/>
    </font>
    <font>
      <sz val="11"/>
      <color theme="3"/>
      <name val="Calibri"/>
      <family val="2"/>
      <scheme val="minor"/>
    </font>
    <font>
      <sz val="9"/>
      <color indexed="81"/>
      <name val="Tahoma"/>
      <charset val="1"/>
    </font>
    <font>
      <b/>
      <sz val="9"/>
      <color indexed="81"/>
      <name val="Tahoma"/>
      <charset val="1"/>
    </font>
    <font>
      <sz val="11"/>
      <color theme="4"/>
      <name val="Calibri"/>
      <family val="2"/>
      <scheme val="minor"/>
    </font>
    <font>
      <sz val="11"/>
      <color rgb="FF00B050"/>
      <name val="Calibri"/>
      <family val="2"/>
      <scheme val="minor"/>
    </font>
  </fonts>
  <fills count="12">
    <fill>
      <patternFill patternType="none"/>
    </fill>
    <fill>
      <patternFill patternType="gray125"/>
    </fill>
    <fill>
      <patternFill patternType="solid">
        <fgColor theme="4"/>
      </patternFill>
    </fill>
    <fill>
      <patternFill patternType="solid">
        <fgColor theme="1"/>
        <bgColor indexed="64"/>
      </patternFill>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9" fontId="6" fillId="0" borderId="0" applyFont="0" applyFill="0" applyBorder="0" applyAlignment="0" applyProtection="0"/>
  </cellStyleXfs>
  <cellXfs count="136">
    <xf numFmtId="0" fontId="0" fillId="0" borderId="0" xfId="0"/>
    <xf numFmtId="0" fontId="0" fillId="0" borderId="0" xfId="0" applyAlignment="1">
      <alignment horizontal="center"/>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vertical="center"/>
    </xf>
    <xf numFmtId="0" fontId="2" fillId="2" borderId="1" xfId="1" applyBorder="1" applyAlignment="1">
      <alignment horizontal="center"/>
    </xf>
    <xf numFmtId="0" fontId="0" fillId="0" borderId="1" xfId="0" applyBorder="1"/>
    <xf numFmtId="0" fontId="0" fillId="0" borderId="1" xfId="0" applyBorder="1" applyAlignment="1">
      <alignment horizontal="left" vertical="center" wrapText="1"/>
    </xf>
    <xf numFmtId="0" fontId="0" fillId="0" borderId="1" xfId="0" applyBorder="1" applyAlignment="1">
      <alignment vertical="center"/>
    </xf>
    <xf numFmtId="9" fontId="0" fillId="0" borderId="1" xfId="0" applyNumberFormat="1" applyBorder="1" applyAlignment="1">
      <alignment horizontal="left" vertical="center"/>
    </xf>
    <xf numFmtId="0" fontId="1" fillId="0" borderId="0" xfId="0" applyFont="1" applyAlignment="1">
      <alignment vertical="center"/>
    </xf>
    <xf numFmtId="0" fontId="2" fillId="2" borderId="4" xfId="1" applyBorder="1" applyAlignment="1">
      <alignment horizontal="center"/>
    </xf>
    <xf numFmtId="0" fontId="2" fillId="4" borderId="1" xfId="1" applyFill="1" applyBorder="1" applyAlignment="1">
      <alignment horizontal="center"/>
    </xf>
    <xf numFmtId="0" fontId="3" fillId="0" borderId="0" xfId="0" applyFont="1"/>
    <xf numFmtId="0" fontId="2" fillId="2" borderId="5" xfId="1" applyBorder="1" applyAlignment="1">
      <alignment horizontal="center"/>
    </xf>
    <xf numFmtId="0" fontId="0" fillId="3" borderId="1" xfId="0" applyFill="1" applyBorder="1"/>
    <xf numFmtId="0" fontId="0" fillId="0" borderId="0" xfId="0" applyAlignment="1">
      <alignment horizontal="center" vertical="center"/>
    </xf>
    <xf numFmtId="0" fontId="0" fillId="0" borderId="0" xfId="0" applyAlignment="1">
      <alignment vertical="center"/>
    </xf>
    <xf numFmtId="0" fontId="1" fillId="5" borderId="1" xfId="0" applyFont="1" applyFill="1" applyBorder="1" applyAlignment="1">
      <alignment horizontal="center" vertical="center"/>
    </xf>
    <xf numFmtId="0" fontId="0" fillId="0" borderId="1" xfId="0" applyBorder="1" applyAlignment="1">
      <alignment horizontal="center" vertical="center"/>
    </xf>
    <xf numFmtId="0" fontId="0" fillId="4" borderId="1" xfId="0" applyFill="1" applyBorder="1"/>
    <xf numFmtId="0" fontId="0" fillId="0" borderId="0" xfId="0" applyAlignment="1">
      <alignment wrapText="1"/>
    </xf>
    <xf numFmtId="9" fontId="0" fillId="0" borderId="1" xfId="0" applyNumberFormat="1" applyBorder="1" applyAlignment="1">
      <alignment horizontal="center"/>
    </xf>
    <xf numFmtId="0" fontId="0" fillId="0" borderId="1" xfId="0" applyBorder="1" applyAlignment="1">
      <alignment horizontal="left" vertical="center"/>
    </xf>
    <xf numFmtId="9" fontId="0" fillId="0" borderId="1" xfId="0" applyNumberFormat="1" applyBorder="1" applyAlignment="1">
      <alignment horizontal="center" vertical="center"/>
    </xf>
    <xf numFmtId="0" fontId="5" fillId="0" borderId="1" xfId="0" applyFont="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xf>
    <xf numFmtId="0" fontId="3" fillId="4" borderId="1" xfId="0" applyFont="1" applyFill="1"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4" fillId="0" borderId="0" xfId="0" applyFont="1"/>
    <xf numFmtId="0" fontId="1" fillId="4" borderId="1" xfId="0" applyFont="1"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0" xfId="0" applyFill="1"/>
    <xf numFmtId="0" fontId="2" fillId="6" borderId="1" xfId="1" applyFill="1" applyBorder="1" applyAlignment="1">
      <alignment horizontal="center" wrapText="1"/>
    </xf>
    <xf numFmtId="9" fontId="0" fillId="0" borderId="1" xfId="0" applyNumberFormat="1" applyBorder="1" applyAlignment="1">
      <alignment horizontal="center" vertical="center" wrapText="1"/>
    </xf>
    <xf numFmtId="0" fontId="1" fillId="6" borderId="0" xfId="0" applyFont="1" applyFill="1" applyAlignment="1">
      <alignment vertical="center" wrapText="1"/>
    </xf>
    <xf numFmtId="0" fontId="0" fillId="0" borderId="1" xfId="0" applyBorder="1" applyAlignment="1">
      <alignment horizontal="center"/>
    </xf>
    <xf numFmtId="0" fontId="0" fillId="5" borderId="1" xfId="0" applyFill="1" applyBorder="1" applyAlignment="1">
      <alignment vertical="center"/>
    </xf>
    <xf numFmtId="0" fontId="0" fillId="5" borderId="1" xfId="0" applyFill="1" applyBorder="1"/>
    <xf numFmtId="0" fontId="1" fillId="0" borderId="1" xfId="0" applyFont="1" applyBorder="1" applyAlignment="1">
      <alignment horizontal="center" vertical="center" wrapText="1"/>
    </xf>
    <xf numFmtId="0" fontId="0" fillId="3" borderId="3" xfId="0" applyFill="1" applyBorder="1"/>
    <xf numFmtId="0" fontId="2" fillId="6" borderId="5" xfId="1" applyFill="1" applyBorder="1" applyAlignment="1">
      <alignment horizontal="center" wrapText="1"/>
    </xf>
    <xf numFmtId="0" fontId="0" fillId="0" borderId="1" xfId="0" applyBorder="1" applyAlignment="1">
      <alignment horizontal="center" wrapText="1"/>
    </xf>
    <xf numFmtId="9" fontId="0" fillId="0" borderId="1" xfId="2" applyFont="1" applyBorder="1" applyAlignment="1">
      <alignment horizontal="center"/>
    </xf>
    <xf numFmtId="14" fontId="0" fillId="0" borderId="1" xfId="0" applyNumberFormat="1" applyBorder="1" applyAlignment="1">
      <alignment horizontal="center" vertical="center"/>
    </xf>
    <xf numFmtId="9" fontId="0" fillId="0" borderId="1" xfId="2" applyFont="1" applyBorder="1" applyAlignment="1">
      <alignment horizontal="center" vertical="center"/>
    </xf>
    <xf numFmtId="0" fontId="2" fillId="2" borderId="4" xfId="1" applyBorder="1" applyAlignment="1">
      <alignment horizontal="center" wrapText="1"/>
    </xf>
    <xf numFmtId="0" fontId="1" fillId="0" borderId="0" xfId="0" applyFont="1"/>
    <xf numFmtId="0" fontId="0" fillId="4" borderId="1" xfId="0" applyFill="1" applyBorder="1" applyAlignment="1">
      <alignment vertical="center"/>
    </xf>
    <xf numFmtId="0" fontId="0" fillId="4" borderId="1" xfId="0" applyFill="1" applyBorder="1" applyAlignment="1">
      <alignment vertical="top" wrapText="1"/>
    </xf>
    <xf numFmtId="0" fontId="5" fillId="4" borderId="1" xfId="0" applyFont="1" applyFill="1" applyBorder="1" applyAlignment="1">
      <alignment horizontal="center" vertical="center"/>
    </xf>
    <xf numFmtId="9" fontId="5"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0" fillId="7" borderId="1" xfId="0" applyFill="1" applyBorder="1"/>
    <xf numFmtId="0" fontId="0" fillId="7" borderId="1" xfId="0" applyFill="1" applyBorder="1" applyAlignment="1">
      <alignment wrapText="1"/>
    </xf>
    <xf numFmtId="0" fontId="0" fillId="8" borderId="1" xfId="0" applyFill="1" applyBorder="1"/>
    <xf numFmtId="9" fontId="0" fillId="0" borderId="1" xfId="0" applyNumberFormat="1" applyBorder="1" applyAlignment="1">
      <alignment vertical="center" wrapText="1"/>
    </xf>
    <xf numFmtId="9" fontId="0" fillId="4" borderId="1" xfId="0" applyNumberFormat="1" applyFill="1" applyBorder="1" applyAlignment="1">
      <alignment horizontal="left" vertical="center"/>
    </xf>
    <xf numFmtId="0" fontId="0" fillId="4" borderId="0" xfId="0" applyFill="1" applyAlignment="1">
      <alignment vertical="center" wrapText="1"/>
    </xf>
    <xf numFmtId="9" fontId="3" fillId="4" borderId="1" xfId="0" applyNumberFormat="1" applyFont="1" applyFill="1" applyBorder="1" applyAlignment="1">
      <alignment horizontal="center" vertical="center"/>
    </xf>
    <xf numFmtId="0" fontId="0" fillId="9" borderId="1" xfId="0" applyFill="1" applyBorder="1" applyAlignment="1">
      <alignment vertical="center" wrapText="1"/>
    </xf>
    <xf numFmtId="0" fontId="10" fillId="0" borderId="0" xfId="0" applyFont="1"/>
    <xf numFmtId="0" fontId="0" fillId="8" borderId="1" xfId="0" applyFill="1" applyBorder="1" applyAlignment="1">
      <alignment vertical="center" wrapText="1"/>
    </xf>
    <xf numFmtId="9" fontId="0" fillId="10" borderId="1" xfId="2" applyFont="1" applyFill="1" applyBorder="1" applyAlignment="1">
      <alignment horizontal="center"/>
    </xf>
    <xf numFmtId="0" fontId="0" fillId="9" borderId="1" xfId="0" applyFill="1" applyBorder="1" applyAlignment="1">
      <alignment wrapText="1"/>
    </xf>
    <xf numFmtId="0" fontId="13" fillId="0" borderId="1" xfId="0" applyFont="1" applyBorder="1"/>
    <xf numFmtId="0" fontId="13" fillId="0" borderId="1" xfId="0" applyFont="1" applyBorder="1" applyAlignment="1">
      <alignment wrapText="1"/>
    </xf>
    <xf numFmtId="0" fontId="0" fillId="6" borderId="1" xfId="0" applyFill="1" applyBorder="1"/>
    <xf numFmtId="9" fontId="1" fillId="6" borderId="1" xfId="0" applyNumberFormat="1" applyFont="1" applyFill="1" applyBorder="1" applyAlignment="1">
      <alignment horizontal="center" vertical="center"/>
    </xf>
    <xf numFmtId="0" fontId="5" fillId="11" borderId="1" xfId="0" applyFont="1" applyFill="1" applyBorder="1" applyAlignment="1">
      <alignment horizontal="center" vertical="center"/>
    </xf>
    <xf numFmtId="0" fontId="0" fillId="11" borderId="1" xfId="0" applyFill="1" applyBorder="1"/>
    <xf numFmtId="9" fontId="5" fillId="11" borderId="1" xfId="0" applyNumberFormat="1" applyFont="1" applyFill="1" applyBorder="1" applyAlignment="1">
      <alignment horizontal="center" vertical="center"/>
    </xf>
    <xf numFmtId="0" fontId="14" fillId="0" borderId="0" xfId="0" applyFont="1" applyAlignment="1">
      <alignment horizontal="center" vertical="center"/>
    </xf>
    <xf numFmtId="0" fontId="14" fillId="0" borderId="0" xfId="0" applyFont="1" applyAlignment="1">
      <alignment vertical="center"/>
    </xf>
    <xf numFmtId="0" fontId="13" fillId="0" borderId="5" xfId="0" applyFont="1" applyBorder="1" applyAlignment="1">
      <alignment horizontal="left" vertical="center" wrapText="1"/>
    </xf>
    <xf numFmtId="0" fontId="4" fillId="0" borderId="1" xfId="0" applyFont="1" applyBorder="1" applyAlignment="1">
      <alignment vertical="center" wrapText="1"/>
    </xf>
    <xf numFmtId="9" fontId="0" fillId="0" borderId="1" xfId="0" applyNumberFormat="1" applyBorder="1" applyAlignment="1">
      <alignment horizontal="left" vertical="center" wrapText="1"/>
    </xf>
    <xf numFmtId="9" fontId="3" fillId="6" borderId="1" xfId="0" applyNumberFormat="1" applyFont="1" applyFill="1" applyBorder="1" applyAlignment="1">
      <alignment horizontal="center" vertical="center"/>
    </xf>
    <xf numFmtId="9" fontId="5" fillId="10"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9" fontId="0" fillId="4" borderId="1" xfId="2" applyFont="1" applyFill="1" applyBorder="1" applyAlignment="1">
      <alignment horizontal="center"/>
    </xf>
    <xf numFmtId="14" fontId="1" fillId="0" borderId="0" xfId="0" applyNumberFormat="1" applyFont="1"/>
    <xf numFmtId="0" fontId="1" fillId="0" borderId="0" xfId="0" applyFont="1" applyAlignment="1">
      <alignment wrapText="1"/>
    </xf>
    <xf numFmtId="0" fontId="15" fillId="0" borderId="0" xfId="0" applyFont="1"/>
    <xf numFmtId="9" fontId="5" fillId="6" borderId="1" xfId="0" applyNumberFormat="1" applyFont="1" applyFill="1"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9" borderId="1" xfId="0" applyFill="1" applyBorder="1" applyAlignment="1">
      <alignment horizontal="left" vertical="center" wrapText="1"/>
    </xf>
    <xf numFmtId="0" fontId="0" fillId="9" borderId="5" xfId="0" applyFill="1" applyBorder="1" applyAlignment="1">
      <alignment horizontal="left" vertical="center" wrapText="1"/>
    </xf>
    <xf numFmtId="0" fontId="0" fillId="9" borderId="6" xfId="0" applyFill="1" applyBorder="1" applyAlignment="1">
      <alignment horizontal="left" vertical="center" wrapText="1"/>
    </xf>
    <xf numFmtId="0" fontId="2" fillId="2" borderId="2" xfId="1" applyBorder="1" applyAlignment="1">
      <alignment horizontal="center"/>
    </xf>
    <xf numFmtId="0" fontId="2" fillId="2" borderId="3" xfId="1" applyBorder="1" applyAlignment="1">
      <alignment horizontal="center"/>
    </xf>
    <xf numFmtId="0" fontId="0" fillId="0" borderId="2" xfId="0" applyBorder="1" applyAlignment="1">
      <alignment horizontal="left" wrapText="1"/>
    </xf>
    <xf numFmtId="0" fontId="0" fillId="0" borderId="3" xfId="0" applyBorder="1" applyAlignment="1">
      <alignment horizontal="left" wrapText="1"/>
    </xf>
    <xf numFmtId="0" fontId="0" fillId="0" borderId="7" xfId="0" applyBorder="1" applyAlignment="1">
      <alignment horizontal="left" wrapText="1"/>
    </xf>
    <xf numFmtId="0" fontId="0" fillId="0" borderId="1" xfId="0"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4" xfId="0" applyBorder="1" applyAlignment="1">
      <alignment horizontal="left" vertical="center" wrapText="1"/>
    </xf>
    <xf numFmtId="9" fontId="0" fillId="0" borderId="5" xfId="0" applyNumberFormat="1" applyBorder="1" applyAlignment="1">
      <alignment horizontal="center" vertical="center"/>
    </xf>
    <xf numFmtId="9" fontId="0" fillId="0" borderId="4" xfId="0" applyNumberFormat="1" applyBorder="1" applyAlignment="1">
      <alignment horizontal="center" vertical="center"/>
    </xf>
    <xf numFmtId="9" fontId="0" fillId="0" borderId="6" xfId="0" applyNumberFormat="1"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4" borderId="5"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0" fillId="0" borderId="4" xfId="0" applyBorder="1" applyAlignment="1">
      <alignment horizontal="left" vertical="center"/>
    </xf>
    <xf numFmtId="0" fontId="0" fillId="0" borderId="6" xfId="0" applyBorder="1" applyAlignment="1">
      <alignment horizontal="left"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7" xfId="0" applyFont="1" applyFill="1" applyBorder="1" applyAlignment="1">
      <alignment horizontal="center" vertical="center"/>
    </xf>
    <xf numFmtId="14" fontId="0" fillId="0" borderId="1" xfId="0" applyNumberFormat="1" applyBorder="1" applyAlignment="1">
      <alignment horizontal="center" vertical="center"/>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vertical="top" wrapText="1"/>
    </xf>
    <xf numFmtId="0" fontId="18" fillId="0" borderId="1" xfId="0" applyFont="1" applyBorder="1" applyAlignment="1">
      <alignment wrapText="1"/>
    </xf>
    <xf numFmtId="9" fontId="0" fillId="6" borderId="1" xfId="0" applyNumberFormat="1" applyFill="1" applyBorder="1"/>
    <xf numFmtId="0" fontId="0" fillId="0" borderId="1" xfId="0" applyBorder="1" applyAlignment="1">
      <alignment horizontal="left" vertical="top"/>
    </xf>
    <xf numFmtId="0" fontId="0" fillId="6" borderId="1" xfId="0" applyFill="1" applyBorder="1" applyAlignment="1">
      <alignment vertical="center" wrapText="1"/>
    </xf>
  </cellXfs>
  <cellStyles count="3">
    <cellStyle name="Énfasis1" xfId="1" builtinId="29"/>
    <cellStyle name="Normal" xfId="0" builtinId="0"/>
    <cellStyle name="Porcentaje"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609600</xdr:colOff>
      <xdr:row>0</xdr:row>
      <xdr:rowOff>0</xdr:rowOff>
    </xdr:from>
    <xdr:to>
      <xdr:col>1</xdr:col>
      <xdr:colOff>1885950</xdr:colOff>
      <xdr:row>0</xdr:row>
      <xdr:rowOff>697148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4125" y="0"/>
          <a:ext cx="1276350" cy="69714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zoomScale="90" zoomScaleNormal="90" workbookViewId="0">
      <selection activeCell="D13" sqref="D13"/>
    </sheetView>
  </sheetViews>
  <sheetFormatPr baseColWidth="10" defaultRowHeight="14.4" x14ac:dyDescent="0.3"/>
  <cols>
    <col min="1" max="1" width="28.6640625" customWidth="1"/>
    <col min="2" max="2" width="30.33203125" customWidth="1"/>
    <col min="3" max="3" width="22.33203125" customWidth="1"/>
    <col min="4" max="4" width="26.88671875" customWidth="1"/>
    <col min="5" max="5" width="14.6640625" customWidth="1"/>
    <col min="6" max="6" width="24.21875" customWidth="1"/>
    <col min="7" max="7" width="12.33203125" customWidth="1"/>
    <col min="9" max="9" width="25.109375" customWidth="1"/>
    <col min="10" max="10" width="21.109375" customWidth="1"/>
    <col min="11" max="11" width="21.5546875" bestFit="1" customWidth="1"/>
    <col min="12" max="12" width="31.88671875" customWidth="1"/>
  </cols>
  <sheetData>
    <row r="1" spans="1:12" ht="55.5" customHeight="1" x14ac:dyDescent="0.3">
      <c r="C1" s="11" t="s">
        <v>305</v>
      </c>
    </row>
    <row r="2" spans="1:12" x14ac:dyDescent="0.3">
      <c r="A2" s="6" t="s">
        <v>23</v>
      </c>
      <c r="B2" s="6" t="s">
        <v>2</v>
      </c>
      <c r="C2" s="6" t="s">
        <v>4</v>
      </c>
      <c r="D2" s="6" t="s">
        <v>6</v>
      </c>
      <c r="E2" s="6" t="s">
        <v>24</v>
      </c>
      <c r="F2" s="6" t="s">
        <v>25</v>
      </c>
      <c r="G2" s="6" t="s">
        <v>26</v>
      </c>
      <c r="H2" s="6" t="s">
        <v>27</v>
      </c>
      <c r="I2" s="6" t="s">
        <v>28</v>
      </c>
      <c r="J2" s="6" t="s">
        <v>29</v>
      </c>
      <c r="K2" s="6" t="s">
        <v>30</v>
      </c>
    </row>
    <row r="3" spans="1:12" ht="120" customHeight="1" x14ac:dyDescent="0.3">
      <c r="A3" s="91" t="s">
        <v>306</v>
      </c>
      <c r="B3" s="66" t="s">
        <v>35</v>
      </c>
      <c r="C3" s="54" t="s">
        <v>12</v>
      </c>
      <c r="D3" s="36" t="s">
        <v>383</v>
      </c>
      <c r="E3" s="63">
        <v>1</v>
      </c>
      <c r="F3" s="36" t="s">
        <v>32</v>
      </c>
      <c r="G3" s="36" t="s">
        <v>31</v>
      </c>
      <c r="H3" s="36" t="s">
        <v>307</v>
      </c>
      <c r="I3" s="64"/>
      <c r="J3" s="34"/>
      <c r="K3" s="27"/>
    </row>
    <row r="4" spans="1:12" ht="56.25" customHeight="1" x14ac:dyDescent="0.3">
      <c r="A4" s="92"/>
      <c r="B4" s="66" t="s">
        <v>344</v>
      </c>
      <c r="C4" s="54" t="s">
        <v>33</v>
      </c>
      <c r="D4" s="36" t="s">
        <v>384</v>
      </c>
      <c r="E4" s="63">
        <v>1</v>
      </c>
      <c r="F4" s="36" t="s">
        <v>32</v>
      </c>
      <c r="G4" s="36" t="s">
        <v>31</v>
      </c>
      <c r="H4" s="36" t="s">
        <v>308</v>
      </c>
      <c r="I4" s="27"/>
      <c r="J4" s="34"/>
      <c r="K4" s="27"/>
    </row>
    <row r="5" spans="1:12" ht="72" x14ac:dyDescent="0.3">
      <c r="A5" s="94" t="s">
        <v>346</v>
      </c>
      <c r="B5" s="70" t="s">
        <v>347</v>
      </c>
      <c r="C5" s="54" t="s">
        <v>33</v>
      </c>
      <c r="D5" s="36" t="s">
        <v>309</v>
      </c>
      <c r="E5" s="10">
        <v>1</v>
      </c>
      <c r="F5" s="9" t="s">
        <v>34</v>
      </c>
      <c r="G5" s="4" t="s">
        <v>31</v>
      </c>
      <c r="H5" s="4" t="s">
        <v>308</v>
      </c>
      <c r="I5" s="20"/>
      <c r="J5" s="2"/>
      <c r="K5" s="20"/>
    </row>
    <row r="6" spans="1:12" ht="57.6" x14ac:dyDescent="0.3">
      <c r="A6" s="95"/>
      <c r="B6" s="70" t="s">
        <v>345</v>
      </c>
      <c r="C6" s="54" t="s">
        <v>33</v>
      </c>
      <c r="D6" s="36" t="s">
        <v>348</v>
      </c>
      <c r="E6" s="10">
        <v>1</v>
      </c>
      <c r="F6" s="4" t="s">
        <v>349</v>
      </c>
      <c r="G6" s="4" t="s">
        <v>31</v>
      </c>
      <c r="H6" s="4" t="s">
        <v>308</v>
      </c>
      <c r="I6" s="129" t="s">
        <v>416</v>
      </c>
      <c r="J6" s="2"/>
      <c r="K6" s="20"/>
    </row>
    <row r="7" spans="1:12" ht="76.8" customHeight="1" x14ac:dyDescent="0.3">
      <c r="A7" s="91" t="s">
        <v>310</v>
      </c>
      <c r="B7" s="35" t="s">
        <v>311</v>
      </c>
      <c r="C7" s="54" t="s">
        <v>33</v>
      </c>
      <c r="D7" s="35" t="s">
        <v>385</v>
      </c>
      <c r="E7" s="63">
        <v>1</v>
      </c>
      <c r="F7" s="36" t="s">
        <v>312</v>
      </c>
      <c r="G7" s="36" t="s">
        <v>31</v>
      </c>
      <c r="H7" s="36" t="s">
        <v>313</v>
      </c>
      <c r="I7" s="130" t="s">
        <v>417</v>
      </c>
      <c r="J7" s="36"/>
      <c r="K7" s="27"/>
      <c r="L7" s="22"/>
    </row>
    <row r="8" spans="1:12" ht="115.2" x14ac:dyDescent="0.3">
      <c r="A8" s="92"/>
      <c r="B8" s="35" t="s">
        <v>264</v>
      </c>
      <c r="C8" s="54" t="s">
        <v>12</v>
      </c>
      <c r="D8" s="37" t="s">
        <v>386</v>
      </c>
      <c r="E8" s="63">
        <v>1</v>
      </c>
      <c r="F8" s="36" t="s">
        <v>152</v>
      </c>
      <c r="G8" s="36" t="s">
        <v>31</v>
      </c>
      <c r="H8" s="36" t="s">
        <v>313</v>
      </c>
      <c r="I8" s="27"/>
      <c r="J8" s="36"/>
      <c r="K8" s="27"/>
      <c r="L8" s="22"/>
    </row>
    <row r="9" spans="1:12" ht="155.4" customHeight="1" x14ac:dyDescent="0.3">
      <c r="A9" s="93" t="s">
        <v>336</v>
      </c>
      <c r="B9" s="55" t="s">
        <v>387</v>
      </c>
      <c r="C9" s="4" t="s">
        <v>266</v>
      </c>
      <c r="D9" s="4" t="s">
        <v>388</v>
      </c>
      <c r="E9" s="10">
        <v>0.33</v>
      </c>
      <c r="F9" s="4" t="s">
        <v>314</v>
      </c>
      <c r="G9" s="4" t="s">
        <v>31</v>
      </c>
      <c r="H9" s="4" t="s">
        <v>313</v>
      </c>
      <c r="I9" s="131" t="s">
        <v>418</v>
      </c>
      <c r="J9" s="7"/>
      <c r="K9" s="7"/>
    </row>
    <row r="10" spans="1:12" ht="43.2" x14ac:dyDescent="0.3">
      <c r="A10" s="93"/>
      <c r="B10" s="35" t="s">
        <v>337</v>
      </c>
      <c r="C10" s="54" t="s">
        <v>12</v>
      </c>
      <c r="D10" s="4" t="s">
        <v>338</v>
      </c>
      <c r="E10" s="10">
        <v>1</v>
      </c>
      <c r="F10" s="36" t="s">
        <v>339</v>
      </c>
      <c r="G10" s="36" t="s">
        <v>31</v>
      </c>
      <c r="H10" s="4" t="s">
        <v>313</v>
      </c>
      <c r="I10" s="132" t="s">
        <v>419</v>
      </c>
      <c r="J10" s="16"/>
      <c r="K10" s="133">
        <v>1</v>
      </c>
    </row>
    <row r="11" spans="1:12" ht="116.4" customHeight="1" x14ac:dyDescent="0.3">
      <c r="A11" s="66" t="s">
        <v>340</v>
      </c>
      <c r="B11" s="36" t="s">
        <v>399</v>
      </c>
      <c r="C11" s="54" t="s">
        <v>12</v>
      </c>
      <c r="D11" s="4" t="s">
        <v>389</v>
      </c>
      <c r="E11" s="10">
        <v>1</v>
      </c>
      <c r="F11" s="36" t="s">
        <v>341</v>
      </c>
      <c r="G11" s="36" t="s">
        <v>31</v>
      </c>
      <c r="H11" s="4" t="s">
        <v>313</v>
      </c>
      <c r="I11" s="7"/>
      <c r="J11" s="7"/>
      <c r="K11" s="7"/>
    </row>
    <row r="12" spans="1:12" ht="227.4" customHeight="1" x14ac:dyDescent="0.3">
      <c r="A12" s="93" t="s">
        <v>391</v>
      </c>
      <c r="B12" s="36" t="s">
        <v>397</v>
      </c>
      <c r="C12" s="54" t="s">
        <v>12</v>
      </c>
      <c r="D12" s="4" t="s">
        <v>398</v>
      </c>
      <c r="E12" s="10">
        <v>0.75</v>
      </c>
      <c r="F12" s="36" t="s">
        <v>96</v>
      </c>
      <c r="G12" s="36" t="s">
        <v>396</v>
      </c>
      <c r="H12" s="4" t="s">
        <v>390</v>
      </c>
      <c r="I12" s="131" t="s">
        <v>420</v>
      </c>
      <c r="J12" s="16"/>
      <c r="K12" s="7"/>
    </row>
    <row r="13" spans="1:12" ht="89.4" customHeight="1" x14ac:dyDescent="0.3">
      <c r="A13" s="93"/>
      <c r="B13" s="36" t="s">
        <v>395</v>
      </c>
      <c r="C13" s="54" t="s">
        <v>12</v>
      </c>
      <c r="D13" s="4" t="s">
        <v>392</v>
      </c>
      <c r="E13" s="82" t="s">
        <v>393</v>
      </c>
      <c r="F13" s="36" t="s">
        <v>394</v>
      </c>
      <c r="G13" s="36" t="s">
        <v>31</v>
      </c>
      <c r="H13" s="4" t="s">
        <v>308</v>
      </c>
      <c r="I13" s="134">
        <v>1</v>
      </c>
      <c r="J13" s="21"/>
      <c r="K13" s="7"/>
    </row>
    <row r="14" spans="1:12" x14ac:dyDescent="0.3">
      <c r="A14" s="67" t="s">
        <v>342</v>
      </c>
    </row>
    <row r="15" spans="1:12" x14ac:dyDescent="0.3">
      <c r="A15" s="89" t="s">
        <v>413</v>
      </c>
    </row>
  </sheetData>
  <mergeCells count="5">
    <mergeCell ref="A3:A4"/>
    <mergeCell ref="A7:A8"/>
    <mergeCell ref="A9:A10"/>
    <mergeCell ref="A5:A6"/>
    <mergeCell ref="A12:A1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zoomScale="130" zoomScaleNormal="130" workbookViewId="0">
      <selection activeCell="E18" sqref="E18"/>
    </sheetView>
  </sheetViews>
  <sheetFormatPr baseColWidth="10" defaultRowHeight="14.4" x14ac:dyDescent="0.3"/>
  <cols>
    <col min="1" max="1" width="16.5546875" customWidth="1"/>
    <col min="2" max="2" width="28.6640625" customWidth="1"/>
    <col min="3" max="3" width="18.109375" customWidth="1"/>
    <col min="4" max="4" width="5.88671875" customWidth="1"/>
    <col min="5" max="5" width="5.5546875" customWidth="1"/>
    <col min="6" max="6" width="6" customWidth="1"/>
    <col min="7" max="7" width="5.6640625" customWidth="1"/>
    <col min="8" max="8" width="5.88671875" customWidth="1"/>
    <col min="9" max="9" width="6.33203125" customWidth="1"/>
    <col min="10" max="10" width="5.44140625" customWidth="1"/>
    <col min="11" max="11" width="5.5546875" customWidth="1"/>
    <col min="12" max="12" width="5.88671875" customWidth="1"/>
    <col min="13" max="13" width="5.33203125" customWidth="1"/>
    <col min="14" max="14" width="5.5546875" customWidth="1"/>
    <col min="15" max="15" width="5.109375" customWidth="1"/>
  </cols>
  <sheetData>
    <row r="1" spans="1:15" ht="18" x14ac:dyDescent="0.35">
      <c r="B1" s="14" t="s">
        <v>315</v>
      </c>
    </row>
    <row r="2" spans="1:15" x14ac:dyDescent="0.3">
      <c r="B2" s="32"/>
      <c r="D2" s="96" t="s">
        <v>343</v>
      </c>
      <c r="E2" s="97"/>
      <c r="F2" s="97"/>
      <c r="G2" s="97"/>
      <c r="H2" s="97"/>
      <c r="I2" s="97"/>
      <c r="J2" s="97"/>
      <c r="K2" s="97"/>
      <c r="L2" s="97"/>
      <c r="M2" s="97"/>
      <c r="N2" s="97"/>
      <c r="O2" s="97"/>
    </row>
    <row r="3" spans="1:15" x14ac:dyDescent="0.3">
      <c r="A3" s="6" t="s">
        <v>36</v>
      </c>
      <c r="B3" s="6" t="s">
        <v>2</v>
      </c>
      <c r="C3" s="6" t="s">
        <v>4</v>
      </c>
      <c r="D3" s="6" t="s">
        <v>39</v>
      </c>
      <c r="E3" s="6" t="s">
        <v>38</v>
      </c>
      <c r="F3" s="6" t="s">
        <v>138</v>
      </c>
      <c r="G3" s="6" t="s">
        <v>40</v>
      </c>
      <c r="H3" s="15" t="s">
        <v>41</v>
      </c>
      <c r="I3" s="12" t="s">
        <v>47</v>
      </c>
      <c r="J3" s="12" t="s">
        <v>48</v>
      </c>
      <c r="K3" s="12" t="s">
        <v>134</v>
      </c>
      <c r="L3" s="12" t="s">
        <v>42</v>
      </c>
      <c r="M3" s="12" t="s">
        <v>43</v>
      </c>
      <c r="N3" s="12" t="s">
        <v>44</v>
      </c>
      <c r="O3" s="12" t="s">
        <v>45</v>
      </c>
    </row>
    <row r="4" spans="1:15" ht="43.2" x14ac:dyDescent="0.3">
      <c r="A4" s="2" t="s">
        <v>37</v>
      </c>
      <c r="B4" s="4" t="s">
        <v>316</v>
      </c>
      <c r="C4" s="4" t="s">
        <v>263</v>
      </c>
      <c r="D4" s="36"/>
      <c r="E4" s="63"/>
      <c r="F4" s="135"/>
      <c r="G4" s="68"/>
      <c r="H4" s="68"/>
      <c r="I4" s="61"/>
      <c r="J4" s="61"/>
      <c r="K4" s="61"/>
      <c r="L4" s="61"/>
      <c r="M4" s="61"/>
      <c r="N4" s="21"/>
      <c r="O4" s="21"/>
    </row>
    <row r="5" spans="1:15" ht="72" x14ac:dyDescent="0.3">
      <c r="A5" s="35" t="s">
        <v>319</v>
      </c>
      <c r="B5" s="36" t="s">
        <v>320</v>
      </c>
      <c r="C5" s="36" t="s">
        <v>350</v>
      </c>
      <c r="D5" s="36"/>
      <c r="E5" s="63"/>
      <c r="F5" s="36"/>
      <c r="G5" s="36"/>
      <c r="H5" s="61"/>
      <c r="I5" s="61"/>
      <c r="J5" s="7"/>
      <c r="K5" s="13"/>
      <c r="L5" s="7"/>
      <c r="M5" s="13"/>
      <c r="N5" s="21"/>
      <c r="O5" s="21"/>
    </row>
    <row r="6" spans="1:15" ht="57.6" x14ac:dyDescent="0.3">
      <c r="A6" s="35" t="s">
        <v>322</v>
      </c>
      <c r="B6" s="36" t="s">
        <v>323</v>
      </c>
      <c r="C6" s="54" t="s">
        <v>321</v>
      </c>
      <c r="D6" s="36"/>
      <c r="E6" s="63"/>
      <c r="F6" s="36"/>
      <c r="G6" s="36"/>
      <c r="H6" s="36"/>
      <c r="I6" s="21"/>
      <c r="J6" s="21"/>
      <c r="K6" s="61"/>
      <c r="L6" s="61"/>
      <c r="M6" s="21"/>
      <c r="N6" s="21"/>
      <c r="O6" s="21"/>
    </row>
    <row r="7" spans="1:15" ht="43.2" x14ac:dyDescent="0.3">
      <c r="A7" s="35" t="s">
        <v>324</v>
      </c>
      <c r="B7" s="36" t="s">
        <v>325</v>
      </c>
      <c r="C7" s="54" t="s">
        <v>321</v>
      </c>
      <c r="D7" s="36"/>
      <c r="E7" s="63"/>
      <c r="F7" s="36"/>
      <c r="G7" s="36"/>
      <c r="H7" s="36"/>
      <c r="I7" s="21"/>
      <c r="J7" s="21"/>
      <c r="K7" s="61"/>
      <c r="L7" s="61"/>
      <c r="M7" s="21"/>
      <c r="N7" s="21"/>
      <c r="O7" s="21"/>
    </row>
    <row r="8" spans="1:15" ht="43.2" x14ac:dyDescent="0.3">
      <c r="A8" s="21" t="s">
        <v>142</v>
      </c>
      <c r="B8" s="2" t="s">
        <v>143</v>
      </c>
      <c r="C8" s="2" t="s">
        <v>317</v>
      </c>
      <c r="D8" s="73"/>
      <c r="E8" s="59"/>
      <c r="F8" s="59"/>
      <c r="G8" s="59"/>
      <c r="H8" s="7"/>
      <c r="I8" s="7"/>
      <c r="J8" s="7"/>
      <c r="K8" s="21"/>
      <c r="L8" s="21"/>
      <c r="M8" s="21"/>
      <c r="N8" s="21"/>
      <c r="O8" s="7"/>
    </row>
    <row r="9" spans="1:15" ht="27.6" customHeight="1" x14ac:dyDescent="0.3">
      <c r="A9" s="98" t="s">
        <v>421</v>
      </c>
      <c r="B9" s="99"/>
      <c r="C9" s="99"/>
      <c r="D9" s="59"/>
      <c r="E9" s="59"/>
      <c r="F9" s="59"/>
      <c r="G9" s="59"/>
      <c r="H9" s="59"/>
      <c r="I9" s="59"/>
      <c r="J9" s="59"/>
      <c r="K9" s="59"/>
      <c r="L9" s="59"/>
      <c r="M9" s="59"/>
      <c r="N9" s="59"/>
      <c r="O9" s="59"/>
    </row>
    <row r="10" spans="1:15" ht="35.25" customHeight="1" x14ac:dyDescent="0.3">
      <c r="A10" s="98" t="s">
        <v>318</v>
      </c>
      <c r="B10" s="99"/>
      <c r="C10" s="100"/>
      <c r="D10" s="60"/>
      <c r="E10" s="60"/>
      <c r="F10" s="60"/>
      <c r="G10" s="60"/>
      <c r="H10" s="60"/>
      <c r="I10" s="60"/>
      <c r="J10" s="60"/>
      <c r="K10" s="60"/>
      <c r="L10" s="60"/>
      <c r="M10" s="60"/>
      <c r="N10" s="60"/>
      <c r="O10" s="60"/>
    </row>
    <row r="11" spans="1:15" ht="43.2" x14ac:dyDescent="0.3">
      <c r="A11" s="21" t="s">
        <v>326</v>
      </c>
      <c r="B11" s="2" t="s">
        <v>327</v>
      </c>
      <c r="C11" s="2" t="s">
        <v>328</v>
      </c>
      <c r="D11" s="7"/>
      <c r="E11" s="7"/>
      <c r="F11" s="7"/>
      <c r="G11" s="7"/>
      <c r="H11" s="7"/>
      <c r="I11" s="21"/>
      <c r="J11" s="59"/>
      <c r="K11" s="59"/>
      <c r="L11" s="7"/>
      <c r="M11" s="7"/>
      <c r="N11" s="7"/>
      <c r="O11" s="7"/>
    </row>
    <row r="12" spans="1:15" ht="57.6" x14ac:dyDescent="0.3">
      <c r="A12" s="21" t="s">
        <v>329</v>
      </c>
      <c r="B12" s="2" t="s">
        <v>330</v>
      </c>
      <c r="C12" s="2" t="s">
        <v>331</v>
      </c>
      <c r="D12" s="7"/>
      <c r="E12" s="7"/>
      <c r="F12" s="7"/>
      <c r="G12" s="59"/>
      <c r="H12" s="59"/>
      <c r="I12" s="7"/>
      <c r="J12" s="7"/>
      <c r="K12" s="7"/>
      <c r="L12" s="7"/>
      <c r="M12" s="7"/>
      <c r="N12" s="7"/>
      <c r="O12" s="7"/>
    </row>
    <row r="13" spans="1:15" ht="43.2" x14ac:dyDescent="0.3">
      <c r="A13" s="71" t="s">
        <v>332</v>
      </c>
      <c r="B13" s="72" t="s">
        <v>333</v>
      </c>
      <c r="C13" s="72" t="s">
        <v>260</v>
      </c>
      <c r="D13" s="7"/>
      <c r="E13" s="7"/>
      <c r="F13" s="7"/>
      <c r="G13" s="7"/>
      <c r="H13" s="7"/>
      <c r="I13" s="7"/>
      <c r="J13" s="7"/>
      <c r="K13" s="21"/>
      <c r="L13" s="7"/>
      <c r="M13" s="59"/>
      <c r="N13" s="59"/>
      <c r="O13" s="59"/>
    </row>
    <row r="14" spans="1:15" ht="43.2" x14ac:dyDescent="0.3">
      <c r="A14" s="71" t="s">
        <v>334</v>
      </c>
      <c r="B14" s="72" t="s">
        <v>335</v>
      </c>
      <c r="C14" s="72" t="s">
        <v>260</v>
      </c>
      <c r="D14" s="7"/>
      <c r="E14" s="7"/>
      <c r="F14" s="21"/>
      <c r="G14" s="7"/>
      <c r="H14" s="7"/>
      <c r="I14" s="7"/>
      <c r="J14" s="21"/>
      <c r="K14" s="21"/>
      <c r="L14" s="21"/>
      <c r="M14" s="59"/>
      <c r="N14" s="59"/>
      <c r="O14" s="59"/>
    </row>
    <row r="15" spans="1:15" ht="43.2" x14ac:dyDescent="0.3">
      <c r="A15" s="21" t="s">
        <v>271</v>
      </c>
      <c r="B15" s="2" t="s">
        <v>272</v>
      </c>
      <c r="C15" s="2" t="s">
        <v>275</v>
      </c>
      <c r="D15" s="61"/>
      <c r="E15" s="61"/>
      <c r="F15" s="61"/>
      <c r="G15" s="61"/>
      <c r="H15" s="21"/>
      <c r="I15" s="21"/>
      <c r="J15" s="21"/>
      <c r="K15" s="21"/>
      <c r="L15" s="21"/>
      <c r="M15" s="21"/>
      <c r="N15" s="21"/>
      <c r="O15" s="21"/>
    </row>
    <row r="16" spans="1:15" ht="72" x14ac:dyDescent="0.3">
      <c r="A16" s="21" t="s">
        <v>273</v>
      </c>
      <c r="B16" s="2" t="s">
        <v>274</v>
      </c>
      <c r="C16" s="2" t="s">
        <v>275</v>
      </c>
      <c r="D16" s="61"/>
      <c r="E16" s="61"/>
      <c r="F16" s="61"/>
      <c r="G16" s="61"/>
      <c r="H16" s="21"/>
      <c r="I16" s="21"/>
      <c r="J16" s="21"/>
      <c r="K16" s="21"/>
      <c r="L16" s="21"/>
      <c r="M16" s="21"/>
      <c r="N16" s="21"/>
      <c r="O16" s="7"/>
    </row>
    <row r="17" spans="1:15" ht="72" x14ac:dyDescent="0.3">
      <c r="A17" s="21" t="s">
        <v>276</v>
      </c>
      <c r="B17" s="2" t="s">
        <v>277</v>
      </c>
      <c r="C17" s="2" t="s">
        <v>275</v>
      </c>
      <c r="D17" s="61"/>
      <c r="E17" s="61"/>
      <c r="F17" s="61"/>
      <c r="G17" s="61"/>
      <c r="H17" s="21"/>
      <c r="I17" s="21"/>
      <c r="J17" s="21"/>
      <c r="K17" s="21"/>
      <c r="L17" s="21"/>
      <c r="M17" s="21"/>
      <c r="N17" s="21"/>
      <c r="O17" s="21"/>
    </row>
    <row r="18" spans="1:15" ht="43.2" x14ac:dyDescent="0.3">
      <c r="A18" s="21" t="s">
        <v>278</v>
      </c>
      <c r="B18" s="35" t="s">
        <v>301</v>
      </c>
      <c r="C18" s="35" t="s">
        <v>275</v>
      </c>
      <c r="D18" s="61"/>
      <c r="E18" s="61"/>
      <c r="F18" s="61"/>
      <c r="G18" s="61"/>
      <c r="H18" s="61"/>
      <c r="I18" s="61"/>
      <c r="J18" s="21"/>
      <c r="K18" s="21"/>
      <c r="L18" s="21"/>
      <c r="M18" s="21"/>
      <c r="N18" s="21"/>
      <c r="O18" s="21"/>
    </row>
  </sheetData>
  <mergeCells count="3">
    <mergeCell ref="D2:O2"/>
    <mergeCell ref="A9:C9"/>
    <mergeCell ref="A10:C10"/>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V18"/>
  <sheetViews>
    <sheetView zoomScale="70" zoomScaleNormal="70" workbookViewId="0">
      <pane ySplit="1" topLeftCell="A2" activePane="bottomLeft" state="frozen"/>
      <selection activeCell="B1" sqref="B1"/>
      <selection pane="bottomLeft" activeCell="L1" sqref="L1"/>
    </sheetView>
  </sheetViews>
  <sheetFormatPr baseColWidth="10" defaultColWidth="9.109375" defaultRowHeight="14.4" x14ac:dyDescent="0.3"/>
  <cols>
    <col min="2" max="3" width="27" customWidth="1"/>
    <col min="4" max="4" width="14.88671875" customWidth="1"/>
    <col min="5" max="5" width="24.6640625" customWidth="1"/>
    <col min="6" max="6" width="15" customWidth="1"/>
    <col min="7" max="7" width="21.33203125" customWidth="1"/>
    <col min="8" max="8" width="18" customWidth="1"/>
    <col min="9" max="9" width="29" customWidth="1"/>
    <col min="12" max="12" width="10.6640625" customWidth="1"/>
    <col min="15" max="15" width="10" customWidth="1"/>
    <col min="18" max="18" width="10.109375" customWidth="1"/>
    <col min="21" max="21" width="11.5546875" bestFit="1" customWidth="1"/>
  </cols>
  <sheetData>
    <row r="1" spans="1:22" ht="29.25" customHeight="1" x14ac:dyDescent="0.3">
      <c r="A1" s="6" t="s">
        <v>15</v>
      </c>
      <c r="B1" s="6" t="s">
        <v>0</v>
      </c>
      <c r="C1" s="39" t="s">
        <v>147</v>
      </c>
      <c r="D1" s="6" t="s">
        <v>1</v>
      </c>
      <c r="E1" s="6" t="s">
        <v>2</v>
      </c>
      <c r="F1" s="6" t="s">
        <v>3</v>
      </c>
      <c r="G1" s="6" t="s">
        <v>4</v>
      </c>
      <c r="H1" s="6" t="s">
        <v>5</v>
      </c>
      <c r="I1" s="6" t="s">
        <v>6</v>
      </c>
      <c r="J1" s="12" t="s">
        <v>116</v>
      </c>
      <c r="K1" s="12" t="s">
        <v>117</v>
      </c>
      <c r="L1" s="12" t="s">
        <v>118</v>
      </c>
      <c r="M1" s="12" t="s">
        <v>119</v>
      </c>
      <c r="N1" s="12" t="s">
        <v>120</v>
      </c>
      <c r="O1" s="12" t="s">
        <v>121</v>
      </c>
      <c r="P1" s="12" t="s">
        <v>122</v>
      </c>
      <c r="Q1" s="12" t="s">
        <v>123</v>
      </c>
      <c r="R1" s="12" t="s">
        <v>124</v>
      </c>
      <c r="S1" s="12" t="s">
        <v>125</v>
      </c>
      <c r="T1" s="12" t="s">
        <v>126</v>
      </c>
      <c r="U1" s="12" t="s">
        <v>127</v>
      </c>
      <c r="V1" s="12" t="s">
        <v>128</v>
      </c>
    </row>
    <row r="2" spans="1:22" ht="74.25" customHeight="1" x14ac:dyDescent="0.3">
      <c r="A2" s="103" t="s">
        <v>16</v>
      </c>
      <c r="B2" s="101" t="s">
        <v>373</v>
      </c>
      <c r="C2" s="8" t="s">
        <v>148</v>
      </c>
      <c r="D2" s="104" t="s">
        <v>10</v>
      </c>
      <c r="E2" s="2" t="s">
        <v>7</v>
      </c>
      <c r="F2" s="2" t="s">
        <v>130</v>
      </c>
      <c r="G2" s="2" t="s">
        <v>290</v>
      </c>
      <c r="H2" s="3" t="s">
        <v>374</v>
      </c>
      <c r="I2" s="101" t="s">
        <v>378</v>
      </c>
      <c r="J2" s="7"/>
      <c r="K2" s="85" t="s">
        <v>129</v>
      </c>
      <c r="L2" s="7"/>
      <c r="M2" s="7"/>
      <c r="N2" s="7"/>
      <c r="O2" s="7"/>
      <c r="P2" s="7"/>
      <c r="Q2" s="56" t="s">
        <v>129</v>
      </c>
      <c r="R2" s="7"/>
      <c r="S2" s="21"/>
      <c r="T2" s="7"/>
      <c r="U2" s="7"/>
      <c r="V2" s="7"/>
    </row>
    <row r="3" spans="1:22" ht="75.599999999999994" customHeight="1" x14ac:dyDescent="0.3">
      <c r="A3" s="103"/>
      <c r="B3" s="101"/>
      <c r="C3" s="80" t="s">
        <v>351</v>
      </c>
      <c r="D3" s="104"/>
      <c r="E3" s="2" t="s">
        <v>8</v>
      </c>
      <c r="F3" s="2" t="s">
        <v>130</v>
      </c>
      <c r="G3" s="2" t="s">
        <v>290</v>
      </c>
      <c r="H3" s="3" t="s">
        <v>376</v>
      </c>
      <c r="I3" s="101"/>
      <c r="J3" s="7"/>
      <c r="K3" s="85" t="s">
        <v>129</v>
      </c>
      <c r="L3" s="7"/>
      <c r="M3" s="7"/>
      <c r="N3" s="7"/>
      <c r="O3" s="7"/>
      <c r="P3" s="7"/>
      <c r="Q3" s="56" t="s">
        <v>129</v>
      </c>
      <c r="R3" s="7"/>
      <c r="S3" s="21"/>
      <c r="T3" s="7"/>
      <c r="U3" s="7"/>
      <c r="V3" s="7"/>
    </row>
    <row r="4" spans="1:22" ht="48" customHeight="1" x14ac:dyDescent="0.3">
      <c r="A4" s="103"/>
      <c r="B4" s="101"/>
      <c r="C4" s="8" t="s">
        <v>148</v>
      </c>
      <c r="D4" s="104"/>
      <c r="E4" s="2" t="s">
        <v>377</v>
      </c>
      <c r="F4" s="2" t="s">
        <v>130</v>
      </c>
      <c r="G4" s="2" t="s">
        <v>9</v>
      </c>
      <c r="H4" s="3" t="s">
        <v>376</v>
      </c>
      <c r="I4" s="101"/>
      <c r="J4" s="7"/>
      <c r="K4" s="85" t="s">
        <v>129</v>
      </c>
      <c r="L4" s="7"/>
      <c r="M4" s="7"/>
      <c r="N4" s="7"/>
      <c r="O4" s="7"/>
      <c r="P4" s="7"/>
      <c r="Q4" s="56" t="s">
        <v>129</v>
      </c>
      <c r="R4" s="7"/>
      <c r="S4" s="21"/>
      <c r="T4" s="7"/>
      <c r="U4" s="7"/>
      <c r="V4" s="7"/>
    </row>
    <row r="5" spans="1:22" ht="88.5" customHeight="1" x14ac:dyDescent="0.3">
      <c r="A5" s="45" t="s">
        <v>145</v>
      </c>
      <c r="B5" s="8" t="s">
        <v>379</v>
      </c>
      <c r="C5" s="80" t="s">
        <v>351</v>
      </c>
      <c r="D5" s="3" t="s">
        <v>10</v>
      </c>
      <c r="E5" s="2" t="s">
        <v>289</v>
      </c>
      <c r="F5" s="2" t="s">
        <v>130</v>
      </c>
      <c r="G5" s="2" t="s">
        <v>290</v>
      </c>
      <c r="H5" s="3" t="s">
        <v>291</v>
      </c>
      <c r="I5" s="8" t="s">
        <v>375</v>
      </c>
      <c r="J5" s="7"/>
      <c r="K5" s="85" t="s">
        <v>129</v>
      </c>
      <c r="L5" s="7"/>
      <c r="M5" s="7"/>
      <c r="N5" s="7"/>
      <c r="O5" s="7"/>
      <c r="P5" s="7"/>
      <c r="Q5" s="56" t="s">
        <v>129</v>
      </c>
      <c r="R5" s="7"/>
      <c r="S5" s="21"/>
      <c r="T5" s="7"/>
      <c r="U5" s="7"/>
      <c r="V5" s="7"/>
    </row>
    <row r="6" spans="1:22" ht="72" x14ac:dyDescent="0.3">
      <c r="A6" s="5" t="s">
        <v>17</v>
      </c>
      <c r="B6" s="8" t="s">
        <v>80</v>
      </c>
      <c r="C6" s="30" t="s">
        <v>216</v>
      </c>
      <c r="D6" s="3" t="s">
        <v>11</v>
      </c>
      <c r="E6" s="2" t="s">
        <v>20</v>
      </c>
      <c r="F6" s="4" t="s">
        <v>131</v>
      </c>
      <c r="G6" s="4" t="s">
        <v>12</v>
      </c>
      <c r="H6" s="4" t="s">
        <v>13</v>
      </c>
      <c r="I6" s="8" t="s">
        <v>14</v>
      </c>
      <c r="J6" s="84">
        <v>0.67</v>
      </c>
      <c r="K6" s="7"/>
      <c r="L6" s="26"/>
      <c r="M6" s="56" t="s">
        <v>129</v>
      </c>
      <c r="N6" s="7"/>
      <c r="O6" s="26"/>
      <c r="P6" s="56" t="s">
        <v>129</v>
      </c>
      <c r="Q6" s="7"/>
      <c r="R6" s="7"/>
      <c r="S6" s="56" t="s">
        <v>129</v>
      </c>
      <c r="T6" s="7"/>
      <c r="U6" s="7"/>
      <c r="V6" s="7"/>
    </row>
    <row r="7" spans="1:22" ht="106.5" customHeight="1" x14ac:dyDescent="0.3">
      <c r="A7" s="105" t="s">
        <v>18</v>
      </c>
      <c r="B7" s="91" t="s">
        <v>78</v>
      </c>
      <c r="C7" s="8" t="s">
        <v>151</v>
      </c>
      <c r="D7" s="3" t="s">
        <v>11</v>
      </c>
      <c r="E7" s="2" t="s">
        <v>19</v>
      </c>
      <c r="F7" s="4" t="s">
        <v>131</v>
      </c>
      <c r="G7" s="4" t="s">
        <v>12</v>
      </c>
      <c r="H7" s="4" t="s">
        <v>13</v>
      </c>
      <c r="I7" s="8" t="s">
        <v>14</v>
      </c>
      <c r="J7" s="84">
        <v>0.6</v>
      </c>
      <c r="K7" s="7"/>
      <c r="L7" s="7"/>
      <c r="M7" s="56" t="s">
        <v>129</v>
      </c>
      <c r="N7" s="7"/>
      <c r="O7" s="7"/>
      <c r="P7" s="56" t="s">
        <v>129</v>
      </c>
      <c r="Q7" s="7"/>
      <c r="R7" s="7"/>
      <c r="S7" s="56" t="s">
        <v>129</v>
      </c>
      <c r="T7" s="7"/>
      <c r="U7" s="7"/>
      <c r="V7" s="7"/>
    </row>
    <row r="8" spans="1:22" ht="87" customHeight="1" x14ac:dyDescent="0.3">
      <c r="A8" s="106"/>
      <c r="B8" s="92"/>
      <c r="C8" s="31" t="s">
        <v>94</v>
      </c>
      <c r="D8" s="40">
        <v>1</v>
      </c>
      <c r="E8" s="4" t="s">
        <v>104</v>
      </c>
      <c r="F8" s="4" t="s">
        <v>107</v>
      </c>
      <c r="G8" s="4" t="s">
        <v>94</v>
      </c>
      <c r="H8" s="4" t="s">
        <v>105</v>
      </c>
      <c r="I8" s="8" t="s">
        <v>106</v>
      </c>
      <c r="J8" s="7"/>
      <c r="K8" s="7"/>
      <c r="L8" s="56" t="s">
        <v>129</v>
      </c>
      <c r="M8" s="7"/>
      <c r="N8" s="7"/>
      <c r="O8" s="7"/>
      <c r="P8" s="7"/>
      <c r="Q8" s="7"/>
      <c r="R8" s="7"/>
      <c r="S8" s="56" t="s">
        <v>129</v>
      </c>
      <c r="T8" s="7"/>
      <c r="U8" s="7"/>
      <c r="V8" s="7"/>
    </row>
    <row r="9" spans="1:22" s="38" customFormat="1" ht="90" customHeight="1" x14ac:dyDescent="0.3">
      <c r="A9" s="33" t="s">
        <v>21</v>
      </c>
      <c r="B9" s="37" t="s">
        <v>79</v>
      </c>
      <c r="C9" s="37" t="s">
        <v>352</v>
      </c>
      <c r="D9" s="34" t="s">
        <v>11</v>
      </c>
      <c r="E9" s="35" t="s">
        <v>54</v>
      </c>
      <c r="F9" s="36" t="s">
        <v>132</v>
      </c>
      <c r="G9" s="36" t="s">
        <v>22</v>
      </c>
      <c r="H9" s="37" t="s">
        <v>13</v>
      </c>
      <c r="I9" s="37" t="s">
        <v>14</v>
      </c>
      <c r="J9" s="21"/>
      <c r="K9" s="21"/>
      <c r="L9" s="56" t="s">
        <v>129</v>
      </c>
      <c r="M9" s="21"/>
      <c r="N9" s="21"/>
      <c r="O9" s="21"/>
      <c r="P9" s="21"/>
      <c r="Q9" s="21"/>
      <c r="R9" s="21"/>
      <c r="S9" s="56" t="s">
        <v>129</v>
      </c>
      <c r="T9" s="21"/>
      <c r="U9" s="76"/>
      <c r="V9" s="21"/>
    </row>
    <row r="10" spans="1:22" ht="72" x14ac:dyDescent="0.3">
      <c r="A10" s="5" t="s">
        <v>49</v>
      </c>
      <c r="B10" s="4" t="s">
        <v>81</v>
      </c>
      <c r="C10" s="4" t="s">
        <v>150</v>
      </c>
      <c r="D10" s="81" t="s">
        <v>380</v>
      </c>
      <c r="E10" s="4" t="s">
        <v>381</v>
      </c>
      <c r="F10" s="4" t="s">
        <v>84</v>
      </c>
      <c r="G10" s="4" t="s">
        <v>82</v>
      </c>
      <c r="H10" s="4" t="s">
        <v>382</v>
      </c>
      <c r="I10" s="24" t="s">
        <v>83</v>
      </c>
      <c r="J10" s="7"/>
      <c r="K10" s="7"/>
      <c r="L10" s="21"/>
      <c r="M10" s="7"/>
      <c r="N10" s="7"/>
      <c r="O10" s="7"/>
      <c r="P10" s="7"/>
      <c r="Q10" s="7"/>
      <c r="R10" s="7"/>
      <c r="S10" s="56" t="s">
        <v>129</v>
      </c>
      <c r="T10" s="26" t="s">
        <v>129</v>
      </c>
      <c r="U10" s="75" t="s">
        <v>129</v>
      </c>
      <c r="V10" s="7"/>
    </row>
    <row r="11" spans="1:22" ht="62.25" customHeight="1" x14ac:dyDescent="0.3">
      <c r="A11" s="102" t="s">
        <v>53</v>
      </c>
      <c r="B11" s="4" t="s">
        <v>85</v>
      </c>
      <c r="C11" s="4" t="s">
        <v>269</v>
      </c>
      <c r="D11" s="23">
        <v>1</v>
      </c>
      <c r="E11" s="2" t="s">
        <v>86</v>
      </c>
      <c r="F11" s="2" t="s">
        <v>302</v>
      </c>
      <c r="G11" s="7" t="s">
        <v>92</v>
      </c>
      <c r="H11" s="7" t="s">
        <v>95</v>
      </c>
      <c r="I11" s="2" t="s">
        <v>97</v>
      </c>
      <c r="J11" s="7"/>
      <c r="K11" s="7"/>
      <c r="L11" s="57"/>
      <c r="M11" s="7"/>
      <c r="N11" s="7"/>
      <c r="O11" s="57"/>
      <c r="P11" s="7"/>
      <c r="Q11" s="7"/>
      <c r="R11" s="7"/>
      <c r="S11" s="57"/>
      <c r="T11" s="57" t="s">
        <v>129</v>
      </c>
      <c r="U11" s="76"/>
      <c r="V11" s="7"/>
    </row>
    <row r="12" spans="1:22" ht="96" customHeight="1" x14ac:dyDescent="0.3">
      <c r="A12" s="102"/>
      <c r="B12" s="36" t="s">
        <v>99</v>
      </c>
      <c r="C12" s="36" t="s">
        <v>353</v>
      </c>
      <c r="D12" s="23">
        <v>0.66</v>
      </c>
      <c r="E12" s="2" t="s">
        <v>88</v>
      </c>
      <c r="F12" s="2" t="s">
        <v>302</v>
      </c>
      <c r="G12" s="2" t="s">
        <v>93</v>
      </c>
      <c r="H12" s="7" t="s">
        <v>95</v>
      </c>
      <c r="I12" s="2" t="s">
        <v>98</v>
      </c>
      <c r="J12" s="7"/>
      <c r="K12" s="7"/>
      <c r="L12" s="57"/>
      <c r="M12" s="7"/>
      <c r="N12" s="7"/>
      <c r="O12" s="57"/>
      <c r="P12" s="7"/>
      <c r="Q12" s="7"/>
      <c r="R12" s="21"/>
      <c r="S12" s="57" t="s">
        <v>129</v>
      </c>
      <c r="T12" s="7"/>
      <c r="U12" s="76"/>
      <c r="V12" s="7"/>
    </row>
    <row r="13" spans="1:22" ht="99.75" customHeight="1" x14ac:dyDescent="0.3">
      <c r="A13" s="102"/>
      <c r="B13" s="36" t="s">
        <v>101</v>
      </c>
      <c r="C13" s="36" t="s">
        <v>353</v>
      </c>
      <c r="D13" s="23">
        <v>0.8</v>
      </c>
      <c r="E13" s="2" t="s">
        <v>87</v>
      </c>
      <c r="F13" s="2" t="s">
        <v>90</v>
      </c>
      <c r="G13" s="2" t="s">
        <v>93</v>
      </c>
      <c r="H13" s="7" t="s">
        <v>95</v>
      </c>
      <c r="I13" s="2" t="s">
        <v>100</v>
      </c>
      <c r="J13" s="7"/>
      <c r="K13" s="7"/>
      <c r="L13" s="90">
        <v>0.99</v>
      </c>
      <c r="M13" s="7"/>
      <c r="N13" s="7"/>
      <c r="O13" s="57" t="s">
        <v>129</v>
      </c>
      <c r="P13" s="7"/>
      <c r="Q13" s="7"/>
      <c r="R13" s="57" t="s">
        <v>129</v>
      </c>
      <c r="S13" s="21"/>
      <c r="T13" s="7"/>
      <c r="U13" s="77" t="s">
        <v>129</v>
      </c>
      <c r="V13" s="7"/>
    </row>
    <row r="14" spans="1:22" ht="94.5" customHeight="1" x14ac:dyDescent="0.3">
      <c r="A14" s="102"/>
      <c r="B14" s="101" t="s">
        <v>89</v>
      </c>
      <c r="C14" s="8" t="s">
        <v>149</v>
      </c>
      <c r="D14" s="16"/>
      <c r="E14" s="2" t="s">
        <v>279</v>
      </c>
      <c r="F14" s="2" t="s">
        <v>302</v>
      </c>
      <c r="G14" s="7" t="s">
        <v>94</v>
      </c>
      <c r="H14" s="2" t="s">
        <v>96</v>
      </c>
      <c r="I14" s="2" t="s">
        <v>102</v>
      </c>
      <c r="J14" s="7"/>
      <c r="K14" s="7"/>
      <c r="L14" s="21"/>
      <c r="M14" s="7"/>
      <c r="N14" s="7"/>
      <c r="O14" s="7"/>
      <c r="P14" s="7"/>
      <c r="Q14" s="56"/>
      <c r="R14" s="56"/>
      <c r="S14" s="56" t="s">
        <v>129</v>
      </c>
      <c r="T14" s="56" t="s">
        <v>129</v>
      </c>
      <c r="U14" s="76"/>
      <c r="V14" s="7"/>
    </row>
    <row r="15" spans="1:22" ht="97.5" customHeight="1" x14ac:dyDescent="0.3">
      <c r="A15" s="102"/>
      <c r="B15" s="101"/>
      <c r="C15" s="8" t="s">
        <v>149</v>
      </c>
      <c r="D15" s="16"/>
      <c r="E15" s="2" t="s">
        <v>280</v>
      </c>
      <c r="F15" s="2" t="s">
        <v>302</v>
      </c>
      <c r="G15" s="7" t="s">
        <v>94</v>
      </c>
      <c r="H15" s="2" t="s">
        <v>96</v>
      </c>
      <c r="I15" s="2" t="s">
        <v>103</v>
      </c>
      <c r="J15" s="7"/>
      <c r="K15" s="7"/>
      <c r="L15" s="21"/>
      <c r="M15" s="7"/>
      <c r="N15" s="7"/>
      <c r="O15" s="7"/>
      <c r="P15" s="7"/>
      <c r="Q15" s="56"/>
      <c r="R15" s="56"/>
      <c r="S15" s="56" t="s">
        <v>129</v>
      </c>
      <c r="T15" s="56" t="s">
        <v>129</v>
      </c>
      <c r="U15" s="76"/>
      <c r="V15" s="7"/>
    </row>
    <row r="16" spans="1:22" ht="73.5" customHeight="1" x14ac:dyDescent="0.3">
      <c r="A16" s="5" t="s">
        <v>146</v>
      </c>
      <c r="B16" s="4" t="s">
        <v>194</v>
      </c>
      <c r="C16" s="4" t="s">
        <v>269</v>
      </c>
      <c r="D16" s="16"/>
      <c r="E16" s="2" t="s">
        <v>196</v>
      </c>
      <c r="F16" s="7" t="s">
        <v>197</v>
      </c>
      <c r="G16" s="4" t="s">
        <v>195</v>
      </c>
      <c r="H16" s="2" t="s">
        <v>13</v>
      </c>
      <c r="I16" s="46"/>
      <c r="J16" s="85" t="s">
        <v>129</v>
      </c>
      <c r="K16" s="85" t="s">
        <v>129</v>
      </c>
      <c r="L16" s="85" t="s">
        <v>129</v>
      </c>
      <c r="M16" s="56" t="s">
        <v>129</v>
      </c>
      <c r="N16" s="56" t="s">
        <v>129</v>
      </c>
      <c r="O16" s="56" t="s">
        <v>129</v>
      </c>
      <c r="P16" s="56" t="s">
        <v>129</v>
      </c>
      <c r="Q16" s="56" t="s">
        <v>129</v>
      </c>
      <c r="R16" s="56" t="s">
        <v>129</v>
      </c>
      <c r="S16" s="56" t="s">
        <v>129</v>
      </c>
      <c r="T16" s="56" t="s">
        <v>129</v>
      </c>
      <c r="U16" s="56" t="s">
        <v>129</v>
      </c>
      <c r="V16" s="26"/>
    </row>
    <row r="17" spans="1:22" ht="72" x14ac:dyDescent="0.3">
      <c r="A17" s="5" t="s">
        <v>144</v>
      </c>
      <c r="B17" s="4" t="s">
        <v>267</v>
      </c>
      <c r="C17" s="4" t="s">
        <v>198</v>
      </c>
      <c r="D17" s="16"/>
      <c r="E17" s="2" t="s">
        <v>366</v>
      </c>
      <c r="F17" s="7" t="s">
        <v>91</v>
      </c>
      <c r="G17" s="4" t="s">
        <v>268</v>
      </c>
      <c r="H17" s="2" t="s">
        <v>105</v>
      </c>
      <c r="I17" s="16"/>
      <c r="J17" s="7"/>
      <c r="K17" s="7"/>
      <c r="L17" s="7"/>
      <c r="M17" s="7"/>
      <c r="N17" s="7"/>
      <c r="O17" s="7"/>
      <c r="P17" s="7"/>
      <c r="Q17" s="56" t="s">
        <v>129</v>
      </c>
      <c r="R17" s="7"/>
      <c r="S17" s="7"/>
      <c r="T17" s="7"/>
      <c r="U17" s="7"/>
      <c r="V17" s="7"/>
    </row>
    <row r="18" spans="1:22" ht="34.799999999999997" customHeight="1" x14ac:dyDescent="0.3">
      <c r="A18" s="5" t="s">
        <v>363</v>
      </c>
      <c r="B18" s="2" t="s">
        <v>368</v>
      </c>
      <c r="C18" s="2" t="s">
        <v>364</v>
      </c>
      <c r="D18" s="16"/>
      <c r="E18" s="2" t="s">
        <v>367</v>
      </c>
      <c r="F18" s="2" t="s">
        <v>365</v>
      </c>
      <c r="G18" s="2" t="s">
        <v>33</v>
      </c>
      <c r="H18" s="2" t="s">
        <v>105</v>
      </c>
      <c r="I18" s="16"/>
      <c r="J18" s="7"/>
      <c r="K18" s="7"/>
      <c r="L18" s="7"/>
      <c r="M18" s="7"/>
      <c r="N18" s="7"/>
      <c r="O18" s="7"/>
      <c r="P18" s="7"/>
      <c r="Q18" s="7"/>
      <c r="R18" s="7"/>
      <c r="S18" s="7"/>
      <c r="T18" s="7"/>
      <c r="U18" s="75" t="s">
        <v>129</v>
      </c>
      <c r="V18" s="7"/>
    </row>
  </sheetData>
  <autoFilter ref="A1:V15" xr:uid="{00000000-0009-0000-0000-000002000000}"/>
  <mergeCells count="8">
    <mergeCell ref="B14:B15"/>
    <mergeCell ref="A11:A15"/>
    <mergeCell ref="A2:A4"/>
    <mergeCell ref="I2:I4"/>
    <mergeCell ref="B2:B4"/>
    <mergeCell ref="D2:D4"/>
    <mergeCell ref="A7:A8"/>
    <mergeCell ref="B7:B8"/>
  </mergeCells>
  <pageMargins left="0.7" right="0.7" top="0.75" bottom="0.75" header="0.3" footer="0.3"/>
  <pageSetup paperSize="5" orientation="landscape"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Z29"/>
  <sheetViews>
    <sheetView zoomScale="50" zoomScaleNormal="50" workbookViewId="0">
      <pane ySplit="2" topLeftCell="A3" activePane="bottomLeft" state="frozen"/>
      <selection activeCell="H1" sqref="H1"/>
      <selection pane="bottomLeft" activeCell="P27" sqref="P27"/>
    </sheetView>
  </sheetViews>
  <sheetFormatPr baseColWidth="10" defaultRowHeight="14.4" x14ac:dyDescent="0.3"/>
  <cols>
    <col min="1" max="1" width="22" customWidth="1"/>
    <col min="2" max="2" width="11.44140625" style="17"/>
    <col min="3" max="3" width="21.109375" style="17" customWidth="1"/>
    <col min="4" max="4" width="18.33203125" style="17" customWidth="1"/>
    <col min="5" max="5" width="42.109375" style="18" customWidth="1"/>
    <col min="6" max="6" width="26.44140625" style="18" customWidth="1"/>
    <col min="7" max="7" width="11.44140625" style="17"/>
    <col min="8" max="8" width="29.33203125" style="18" customWidth="1"/>
    <col min="9" max="9" width="32.109375" style="18" customWidth="1"/>
    <col min="10" max="11" width="30.109375" customWidth="1"/>
    <col min="12" max="12" width="20.88671875" style="17" customWidth="1"/>
    <col min="13" max="13" width="18.109375" style="17" customWidth="1"/>
    <col min="14" max="14" width="13.44140625" style="1" customWidth="1"/>
    <col min="15" max="15" width="13.109375" style="17" customWidth="1"/>
    <col min="16" max="16" width="12" style="17" customWidth="1"/>
    <col min="17" max="17" width="18.5546875" style="1" customWidth="1"/>
    <col min="19" max="19" width="12.6640625" customWidth="1"/>
    <col min="21" max="21" width="13.44140625" customWidth="1"/>
    <col min="23" max="23" width="16.88671875" customWidth="1"/>
    <col min="26" max="26" width="14.44140625" customWidth="1"/>
  </cols>
  <sheetData>
    <row r="1" spans="1:26" ht="23.4" x14ac:dyDescent="0.3">
      <c r="D1" s="78" t="s">
        <v>371</v>
      </c>
      <c r="E1" s="79" t="s">
        <v>372</v>
      </c>
    </row>
    <row r="2" spans="1:26" s="11" customFormat="1" ht="71.25" customHeight="1" x14ac:dyDescent="0.3">
      <c r="A2" s="41" t="s">
        <v>147</v>
      </c>
      <c r="B2" s="19" t="s">
        <v>55</v>
      </c>
      <c r="C2" s="19" t="s">
        <v>56</v>
      </c>
      <c r="D2" s="19" t="s">
        <v>36</v>
      </c>
      <c r="E2" s="19" t="s">
        <v>57</v>
      </c>
      <c r="F2" s="19" t="s">
        <v>58</v>
      </c>
      <c r="G2" s="19" t="s">
        <v>59</v>
      </c>
      <c r="H2" s="19" t="s">
        <v>60</v>
      </c>
      <c r="I2" s="19" t="s">
        <v>61</v>
      </c>
      <c r="J2" s="19" t="s">
        <v>62</v>
      </c>
      <c r="K2" s="19" t="s">
        <v>63</v>
      </c>
      <c r="L2" s="19" t="s">
        <v>64</v>
      </c>
      <c r="M2" s="19" t="s">
        <v>65</v>
      </c>
      <c r="N2" s="19" t="s">
        <v>133</v>
      </c>
      <c r="O2" s="19" t="s">
        <v>38</v>
      </c>
      <c r="P2" s="19" t="s">
        <v>46</v>
      </c>
      <c r="Q2" s="19" t="s">
        <v>40</v>
      </c>
      <c r="R2" s="19" t="s">
        <v>41</v>
      </c>
      <c r="S2" s="19" t="s">
        <v>47</v>
      </c>
      <c r="T2" s="19" t="s">
        <v>48</v>
      </c>
      <c r="U2" s="19" t="s">
        <v>134</v>
      </c>
      <c r="V2" s="19" t="s">
        <v>42</v>
      </c>
      <c r="W2" s="19" t="s">
        <v>43</v>
      </c>
      <c r="X2" s="19" t="s">
        <v>44</v>
      </c>
      <c r="Y2" s="19" t="s">
        <v>45</v>
      </c>
      <c r="Z2" s="19" t="s">
        <v>135</v>
      </c>
    </row>
    <row r="3" spans="1:26" s="18" customFormat="1" ht="39.75" customHeight="1" x14ac:dyDescent="0.3">
      <c r="A3" s="104" t="s">
        <v>153</v>
      </c>
      <c r="B3" s="111">
        <v>1</v>
      </c>
      <c r="C3" s="20" t="s">
        <v>69</v>
      </c>
      <c r="D3" s="111" t="s">
        <v>51</v>
      </c>
      <c r="E3" s="91" t="s">
        <v>67</v>
      </c>
      <c r="F3" s="117" t="s">
        <v>369</v>
      </c>
      <c r="G3" s="108">
        <v>0.85</v>
      </c>
      <c r="H3" s="91" t="s">
        <v>183</v>
      </c>
      <c r="I3" s="91" t="s">
        <v>70</v>
      </c>
      <c r="J3" s="91" t="s">
        <v>137</v>
      </c>
      <c r="K3" s="91" t="s">
        <v>68</v>
      </c>
      <c r="L3" s="118" t="s">
        <v>71</v>
      </c>
      <c r="M3" s="111" t="s">
        <v>167</v>
      </c>
      <c r="N3" s="83">
        <v>1</v>
      </c>
      <c r="O3" s="28"/>
      <c r="P3" s="27"/>
      <c r="Q3" s="27"/>
      <c r="R3" s="54"/>
      <c r="S3" s="54"/>
      <c r="T3" s="54"/>
      <c r="U3" s="65" t="s">
        <v>136</v>
      </c>
      <c r="V3" s="54"/>
      <c r="W3" s="9"/>
      <c r="X3" s="9"/>
      <c r="Y3" s="9"/>
      <c r="Z3" s="43"/>
    </row>
    <row r="4" spans="1:26" ht="36.75" customHeight="1" x14ac:dyDescent="0.3">
      <c r="A4" s="104"/>
      <c r="B4" s="112"/>
      <c r="C4" s="20" t="s">
        <v>66</v>
      </c>
      <c r="D4" s="112"/>
      <c r="E4" s="107"/>
      <c r="F4" s="115"/>
      <c r="G4" s="109"/>
      <c r="H4" s="107"/>
      <c r="I4" s="107"/>
      <c r="J4" s="107"/>
      <c r="K4" s="107"/>
      <c r="L4" s="119"/>
      <c r="M4" s="112"/>
      <c r="N4" s="83">
        <v>1</v>
      </c>
      <c r="O4" s="28"/>
      <c r="P4" s="27"/>
      <c r="Q4" s="28"/>
      <c r="R4" s="21"/>
      <c r="S4" s="21"/>
      <c r="T4" s="21"/>
      <c r="U4" s="65" t="s">
        <v>136</v>
      </c>
      <c r="V4" s="21"/>
      <c r="W4" s="7"/>
      <c r="X4" s="7"/>
      <c r="Y4" s="7"/>
      <c r="Z4" s="44"/>
    </row>
    <row r="5" spans="1:26" ht="34.5" customHeight="1" x14ac:dyDescent="0.3">
      <c r="A5" s="104"/>
      <c r="B5" s="112"/>
      <c r="C5" s="20" t="s">
        <v>72</v>
      </c>
      <c r="D5" s="112"/>
      <c r="E5" s="107"/>
      <c r="F5" s="115"/>
      <c r="G5" s="109"/>
      <c r="H5" s="107"/>
      <c r="I5" s="107"/>
      <c r="J5" s="107"/>
      <c r="K5" s="107"/>
      <c r="L5" s="119"/>
      <c r="M5" s="112"/>
      <c r="N5" s="83">
        <v>1</v>
      </c>
      <c r="O5" s="28"/>
      <c r="P5" s="27"/>
      <c r="Q5" s="28"/>
      <c r="R5" s="21"/>
      <c r="S5" s="21"/>
      <c r="T5" s="21"/>
      <c r="U5" s="65" t="s">
        <v>136</v>
      </c>
      <c r="V5" s="21"/>
      <c r="W5" s="7"/>
      <c r="X5" s="7"/>
      <c r="Y5" s="7"/>
      <c r="Z5" s="44"/>
    </row>
    <row r="6" spans="1:26" ht="36.75" customHeight="1" x14ac:dyDescent="0.3">
      <c r="A6" s="104"/>
      <c r="B6" s="112"/>
      <c r="C6" s="20" t="s">
        <v>73</v>
      </c>
      <c r="D6" s="112"/>
      <c r="E6" s="107"/>
      <c r="F6" s="115"/>
      <c r="G6" s="109"/>
      <c r="H6" s="107"/>
      <c r="I6" s="107"/>
      <c r="J6" s="107"/>
      <c r="K6" s="107"/>
      <c r="L6" s="119"/>
      <c r="M6" s="112"/>
      <c r="N6" s="83">
        <v>1</v>
      </c>
      <c r="O6" s="28"/>
      <c r="P6" s="27"/>
      <c r="Q6" s="28"/>
      <c r="R6" s="21"/>
      <c r="S6" s="21"/>
      <c r="T6" s="21"/>
      <c r="U6" s="65" t="s">
        <v>136</v>
      </c>
      <c r="V6" s="21"/>
      <c r="W6" s="7"/>
      <c r="X6" s="7"/>
      <c r="Y6" s="7"/>
      <c r="Z6" s="44"/>
    </row>
    <row r="7" spans="1:26" ht="34.5" customHeight="1" x14ac:dyDescent="0.3">
      <c r="A7" s="104"/>
      <c r="B7" s="113"/>
      <c r="C7" s="20" t="s">
        <v>74</v>
      </c>
      <c r="D7" s="113"/>
      <c r="E7" s="107"/>
      <c r="F7" s="116"/>
      <c r="G7" s="110"/>
      <c r="H7" s="92"/>
      <c r="I7" s="92"/>
      <c r="J7" s="92"/>
      <c r="K7" s="92"/>
      <c r="L7" s="120"/>
      <c r="M7" s="113"/>
      <c r="N7" s="83">
        <v>1</v>
      </c>
      <c r="O7" s="28"/>
      <c r="P7" s="27"/>
      <c r="Q7" s="28"/>
      <c r="R7" s="21"/>
      <c r="S7" s="21"/>
      <c r="T7" s="21"/>
      <c r="U7" s="65" t="s">
        <v>136</v>
      </c>
      <c r="V7" s="21"/>
      <c r="W7" s="7"/>
      <c r="X7" s="7"/>
      <c r="Y7" s="7"/>
      <c r="Z7" s="44"/>
    </row>
    <row r="8" spans="1:26" ht="34.5" customHeight="1" x14ac:dyDescent="0.3">
      <c r="A8" s="104" t="s">
        <v>153</v>
      </c>
      <c r="B8" s="111">
        <v>2</v>
      </c>
      <c r="C8" s="20" t="s">
        <v>69</v>
      </c>
      <c r="D8" s="111" t="s">
        <v>51</v>
      </c>
      <c r="E8" s="107"/>
      <c r="F8" s="114" t="s">
        <v>370</v>
      </c>
      <c r="G8" s="108">
        <v>0.8</v>
      </c>
      <c r="H8" s="91" t="s">
        <v>182</v>
      </c>
      <c r="I8" s="91" t="s">
        <v>75</v>
      </c>
      <c r="J8" s="91" t="s">
        <v>76</v>
      </c>
      <c r="K8" s="91" t="s">
        <v>68</v>
      </c>
      <c r="L8" s="118" t="s">
        <v>77</v>
      </c>
      <c r="M8" s="111" t="s">
        <v>167</v>
      </c>
      <c r="N8" s="28"/>
      <c r="O8" s="83">
        <v>1</v>
      </c>
      <c r="P8" s="27"/>
      <c r="Q8" s="28"/>
      <c r="R8" s="7"/>
      <c r="S8" s="7"/>
      <c r="T8" s="7"/>
      <c r="U8" s="7"/>
      <c r="V8" s="65" t="s">
        <v>136</v>
      </c>
      <c r="W8" s="7"/>
      <c r="X8" s="7"/>
      <c r="Y8" s="7"/>
      <c r="Z8" s="44"/>
    </row>
    <row r="9" spans="1:26" ht="34.5" customHeight="1" x14ac:dyDescent="0.3">
      <c r="A9" s="104"/>
      <c r="B9" s="112"/>
      <c r="C9" s="20" t="s">
        <v>66</v>
      </c>
      <c r="D9" s="112"/>
      <c r="E9" s="107"/>
      <c r="F9" s="115"/>
      <c r="G9" s="112"/>
      <c r="H9" s="121"/>
      <c r="I9" s="121"/>
      <c r="J9" s="121"/>
      <c r="K9" s="107"/>
      <c r="L9" s="119"/>
      <c r="M9" s="112"/>
      <c r="N9" s="28"/>
      <c r="O9" s="83">
        <v>1</v>
      </c>
      <c r="P9" s="27"/>
      <c r="Q9" s="28"/>
      <c r="R9" s="7"/>
      <c r="S9" s="7"/>
      <c r="T9" s="7"/>
      <c r="U9" s="7"/>
      <c r="V9" s="65" t="s">
        <v>136</v>
      </c>
      <c r="W9" s="7"/>
      <c r="X9" s="7"/>
      <c r="Y9" s="7"/>
      <c r="Z9" s="44"/>
    </row>
    <row r="10" spans="1:26" ht="42" customHeight="1" x14ac:dyDescent="0.3">
      <c r="A10" s="104"/>
      <c r="B10" s="112"/>
      <c r="C10" s="20" t="s">
        <v>72</v>
      </c>
      <c r="D10" s="112"/>
      <c r="E10" s="107"/>
      <c r="F10" s="115"/>
      <c r="G10" s="112"/>
      <c r="H10" s="121"/>
      <c r="I10" s="121"/>
      <c r="J10" s="121"/>
      <c r="K10" s="107"/>
      <c r="L10" s="119"/>
      <c r="M10" s="112"/>
      <c r="N10" s="28"/>
      <c r="O10" s="83">
        <v>1</v>
      </c>
      <c r="P10" s="27"/>
      <c r="Q10" s="28"/>
      <c r="R10" s="7"/>
      <c r="S10" s="7"/>
      <c r="T10" s="7"/>
      <c r="U10" s="7"/>
      <c r="V10" s="65" t="s">
        <v>136</v>
      </c>
      <c r="W10" s="7"/>
      <c r="X10" s="7"/>
      <c r="Y10" s="7"/>
      <c r="Z10" s="44"/>
    </row>
    <row r="11" spans="1:26" ht="37.5" customHeight="1" x14ac:dyDescent="0.3">
      <c r="A11" s="104"/>
      <c r="B11" s="112"/>
      <c r="C11" s="20" t="s">
        <v>73</v>
      </c>
      <c r="D11" s="112"/>
      <c r="E11" s="107"/>
      <c r="F11" s="115"/>
      <c r="G11" s="112"/>
      <c r="H11" s="121"/>
      <c r="I11" s="121"/>
      <c r="J11" s="121"/>
      <c r="K11" s="107"/>
      <c r="L11" s="119"/>
      <c r="M11" s="112"/>
      <c r="N11" s="28"/>
      <c r="O11" s="83">
        <v>1</v>
      </c>
      <c r="P11" s="27"/>
      <c r="Q11" s="28"/>
      <c r="R11" s="7"/>
      <c r="S11" s="7"/>
      <c r="T11" s="7"/>
      <c r="U11" s="7"/>
      <c r="V11" s="65" t="s">
        <v>136</v>
      </c>
      <c r="W11" s="7"/>
      <c r="X11" s="7"/>
      <c r="Y11" s="7"/>
      <c r="Z11" s="44"/>
    </row>
    <row r="12" spans="1:26" ht="75" customHeight="1" x14ac:dyDescent="0.3">
      <c r="A12" s="104"/>
      <c r="B12" s="113"/>
      <c r="C12" s="20" t="s">
        <v>74</v>
      </c>
      <c r="D12" s="113"/>
      <c r="E12" s="92"/>
      <c r="F12" s="116"/>
      <c r="G12" s="113"/>
      <c r="H12" s="122"/>
      <c r="I12" s="122"/>
      <c r="J12" s="122"/>
      <c r="K12" s="92"/>
      <c r="L12" s="120"/>
      <c r="M12" s="113"/>
      <c r="N12" s="28"/>
      <c r="O12" s="83">
        <v>1</v>
      </c>
      <c r="P12" s="27"/>
      <c r="Q12" s="28"/>
      <c r="R12" s="7"/>
      <c r="S12" s="7"/>
      <c r="T12" s="7"/>
      <c r="U12" s="7"/>
      <c r="V12" s="65" t="s">
        <v>136</v>
      </c>
      <c r="W12" s="7"/>
      <c r="X12" s="7"/>
      <c r="Y12" s="7"/>
      <c r="Z12" s="44"/>
    </row>
    <row r="13" spans="1:26" ht="213.75" customHeight="1" x14ac:dyDescent="0.3">
      <c r="A13" s="20" t="s">
        <v>282</v>
      </c>
      <c r="B13" s="20">
        <v>3</v>
      </c>
      <c r="C13" s="20" t="s">
        <v>108</v>
      </c>
      <c r="D13" s="20" t="s">
        <v>109</v>
      </c>
      <c r="E13" s="4" t="s">
        <v>180</v>
      </c>
      <c r="F13" s="3" t="s">
        <v>114</v>
      </c>
      <c r="G13" s="25">
        <v>0.95</v>
      </c>
      <c r="H13" s="8" t="s">
        <v>115</v>
      </c>
      <c r="I13" s="8" t="s">
        <v>110</v>
      </c>
      <c r="J13" s="8" t="s">
        <v>111</v>
      </c>
      <c r="K13" s="8" t="s">
        <v>112</v>
      </c>
      <c r="L13" s="34" t="s">
        <v>113</v>
      </c>
      <c r="M13" s="20" t="s">
        <v>166</v>
      </c>
      <c r="N13" s="29"/>
      <c r="O13" s="27"/>
      <c r="P13" s="65" t="s">
        <v>136</v>
      </c>
      <c r="Q13" s="28"/>
      <c r="R13" s="7"/>
      <c r="S13" s="65" t="s">
        <v>136</v>
      </c>
      <c r="T13" s="7"/>
      <c r="U13" s="7"/>
      <c r="V13" s="65" t="s">
        <v>136</v>
      </c>
      <c r="W13" s="7"/>
      <c r="X13" s="7"/>
      <c r="Y13" s="29" t="s">
        <v>136</v>
      </c>
      <c r="Z13" s="44"/>
    </row>
    <row r="14" spans="1:26" ht="121.5" customHeight="1" x14ac:dyDescent="0.3">
      <c r="A14" s="20" t="s">
        <v>174</v>
      </c>
      <c r="B14" s="20">
        <v>4</v>
      </c>
      <c r="C14" s="20" t="s">
        <v>184</v>
      </c>
      <c r="D14" s="123" t="s">
        <v>52</v>
      </c>
      <c r="E14" s="101" t="s">
        <v>187</v>
      </c>
      <c r="F14" s="104" t="s">
        <v>154</v>
      </c>
      <c r="G14" s="124">
        <v>0.75</v>
      </c>
      <c r="H14" s="4" t="s">
        <v>155</v>
      </c>
      <c r="I14" s="4" t="s">
        <v>169</v>
      </c>
      <c r="J14" s="8" t="s">
        <v>161</v>
      </c>
      <c r="K14" s="2" t="s">
        <v>163</v>
      </c>
      <c r="L14" s="20" t="s">
        <v>176</v>
      </c>
      <c r="M14" s="20" t="s">
        <v>166</v>
      </c>
      <c r="N14" s="42"/>
      <c r="O14" s="20"/>
      <c r="P14" s="20"/>
      <c r="Q14" s="65" t="s">
        <v>136</v>
      </c>
      <c r="R14" s="7"/>
      <c r="S14" s="7"/>
      <c r="T14" s="7"/>
      <c r="U14" s="65" t="s">
        <v>136</v>
      </c>
      <c r="V14" s="7"/>
      <c r="W14" s="7"/>
      <c r="X14" s="7"/>
      <c r="Y14" s="29" t="s">
        <v>136</v>
      </c>
      <c r="Z14" s="44"/>
    </row>
    <row r="15" spans="1:26" ht="86.4" x14ac:dyDescent="0.3">
      <c r="A15" s="20" t="s">
        <v>175</v>
      </c>
      <c r="B15" s="20">
        <v>5</v>
      </c>
      <c r="C15" s="20" t="s">
        <v>185</v>
      </c>
      <c r="D15" s="123"/>
      <c r="E15" s="101"/>
      <c r="F15" s="104"/>
      <c r="G15" s="124"/>
      <c r="H15" s="4" t="s">
        <v>156</v>
      </c>
      <c r="I15" s="4" t="s">
        <v>158</v>
      </c>
      <c r="J15" s="8" t="s">
        <v>162</v>
      </c>
      <c r="K15" s="2" t="s">
        <v>164</v>
      </c>
      <c r="L15" s="3" t="s">
        <v>177</v>
      </c>
      <c r="M15" s="20" t="s">
        <v>167</v>
      </c>
      <c r="N15" s="125" t="s">
        <v>136</v>
      </c>
      <c r="O15" s="126"/>
      <c r="P15" s="126"/>
      <c r="Q15" s="126"/>
      <c r="R15" s="126"/>
      <c r="S15" s="127"/>
      <c r="T15" s="58" t="s">
        <v>129</v>
      </c>
      <c r="U15" s="7"/>
      <c r="V15" s="7"/>
      <c r="W15" s="7"/>
      <c r="X15" s="7"/>
      <c r="Y15" s="7"/>
      <c r="Z15" s="44"/>
    </row>
    <row r="16" spans="1:26" ht="127.5" customHeight="1" x14ac:dyDescent="0.3">
      <c r="A16" s="20" t="s">
        <v>175</v>
      </c>
      <c r="B16" s="20">
        <v>6</v>
      </c>
      <c r="C16" s="20" t="s">
        <v>186</v>
      </c>
      <c r="D16" s="123"/>
      <c r="E16" s="101"/>
      <c r="F16" s="104"/>
      <c r="G16" s="124"/>
      <c r="H16" s="4" t="s">
        <v>157</v>
      </c>
      <c r="I16" s="4" t="s">
        <v>159</v>
      </c>
      <c r="J16" s="8" t="s">
        <v>160</v>
      </c>
      <c r="K16" s="2" t="s">
        <v>165</v>
      </c>
      <c r="L16" s="3" t="s">
        <v>177</v>
      </c>
      <c r="M16" s="20" t="s">
        <v>168</v>
      </c>
      <c r="N16" s="83" t="s">
        <v>400</v>
      </c>
      <c r="O16" s="83" t="s">
        <v>415</v>
      </c>
      <c r="P16" s="65" t="s">
        <v>136</v>
      </c>
      <c r="Q16" s="65" t="s">
        <v>136</v>
      </c>
      <c r="R16" s="65" t="s">
        <v>136</v>
      </c>
      <c r="S16" s="65" t="s">
        <v>136</v>
      </c>
      <c r="T16" s="65" t="s">
        <v>136</v>
      </c>
      <c r="U16" s="65" t="s">
        <v>136</v>
      </c>
      <c r="V16" s="65" t="s">
        <v>136</v>
      </c>
      <c r="W16" s="65" t="s">
        <v>136</v>
      </c>
      <c r="X16" s="65" t="s">
        <v>136</v>
      </c>
      <c r="Y16" s="29" t="s">
        <v>136</v>
      </c>
      <c r="Z16" s="44"/>
    </row>
    <row r="17" spans="1:26" ht="163.5" customHeight="1" x14ac:dyDescent="0.3">
      <c r="A17" s="20" t="s">
        <v>178</v>
      </c>
      <c r="B17" s="20">
        <v>7</v>
      </c>
      <c r="C17" s="20" t="s">
        <v>179</v>
      </c>
      <c r="D17" s="20" t="s">
        <v>50</v>
      </c>
      <c r="E17" s="4" t="s">
        <v>188</v>
      </c>
      <c r="F17" s="3" t="s">
        <v>170</v>
      </c>
      <c r="G17" s="25">
        <v>0.85</v>
      </c>
      <c r="H17" s="4" t="s">
        <v>171</v>
      </c>
      <c r="I17" s="4" t="s">
        <v>172</v>
      </c>
      <c r="J17" s="8" t="s">
        <v>173</v>
      </c>
      <c r="K17" s="4" t="s">
        <v>288</v>
      </c>
      <c r="L17" s="3" t="s">
        <v>181</v>
      </c>
      <c r="M17" s="20" t="s">
        <v>166</v>
      </c>
      <c r="N17" s="83" t="s">
        <v>136</v>
      </c>
      <c r="O17" s="20"/>
      <c r="P17" s="29"/>
      <c r="Q17" s="65" t="s">
        <v>136</v>
      </c>
      <c r="R17" s="7"/>
      <c r="S17" s="7"/>
      <c r="T17" s="65" t="s">
        <v>136</v>
      </c>
      <c r="U17" s="7"/>
      <c r="V17" s="7"/>
      <c r="W17" s="65" t="s">
        <v>136</v>
      </c>
      <c r="X17" s="29"/>
      <c r="Y17" s="7"/>
      <c r="Z17" s="44"/>
    </row>
    <row r="18" spans="1:26" ht="231" customHeight="1" x14ac:dyDescent="0.3">
      <c r="A18" s="3" t="s">
        <v>193</v>
      </c>
      <c r="B18" s="20">
        <v>8</v>
      </c>
      <c r="C18" s="3" t="s">
        <v>262</v>
      </c>
      <c r="D18" s="20" t="s">
        <v>50</v>
      </c>
      <c r="E18" s="4" t="s">
        <v>189</v>
      </c>
      <c r="F18" s="3" t="s">
        <v>190</v>
      </c>
      <c r="G18" s="25">
        <v>0.88</v>
      </c>
      <c r="H18" s="8" t="s">
        <v>270</v>
      </c>
      <c r="I18" s="4" t="s">
        <v>191</v>
      </c>
      <c r="J18" s="8" t="s">
        <v>303</v>
      </c>
      <c r="K18" s="4" t="s">
        <v>232</v>
      </c>
      <c r="L18" s="3" t="s">
        <v>192</v>
      </c>
      <c r="M18" s="20" t="s">
        <v>167</v>
      </c>
      <c r="N18" s="42"/>
      <c r="O18" s="20"/>
      <c r="P18" s="20"/>
      <c r="Q18" s="65" t="s">
        <v>136</v>
      </c>
      <c r="R18" s="7"/>
      <c r="S18" s="29"/>
      <c r="T18" s="7"/>
      <c r="U18" s="7"/>
      <c r="V18" s="7"/>
      <c r="W18" s="65" t="s">
        <v>136</v>
      </c>
      <c r="X18" s="7"/>
      <c r="Y18" s="29"/>
      <c r="Z18" s="44"/>
    </row>
    <row r="19" spans="1:26" ht="132.75" customHeight="1" x14ac:dyDescent="0.3">
      <c r="A19" s="3" t="s">
        <v>227</v>
      </c>
      <c r="B19" s="20">
        <v>9</v>
      </c>
      <c r="C19" s="3" t="s">
        <v>226</v>
      </c>
      <c r="D19" s="20" t="s">
        <v>50</v>
      </c>
      <c r="E19" s="4" t="s">
        <v>228</v>
      </c>
      <c r="F19" s="3" t="s">
        <v>190</v>
      </c>
      <c r="G19" s="25">
        <v>0.8</v>
      </c>
      <c r="H19" s="8" t="s">
        <v>229</v>
      </c>
      <c r="I19" s="4" t="s">
        <v>230</v>
      </c>
      <c r="J19" s="8" t="s">
        <v>231</v>
      </c>
      <c r="K19" s="4" t="s">
        <v>233</v>
      </c>
      <c r="L19" s="3" t="s">
        <v>234</v>
      </c>
      <c r="M19" s="20" t="s">
        <v>167</v>
      </c>
      <c r="N19" s="42"/>
      <c r="O19" s="20"/>
      <c r="P19" s="20"/>
      <c r="Q19" s="65" t="s">
        <v>136</v>
      </c>
      <c r="R19" s="7"/>
      <c r="S19" s="29"/>
      <c r="T19" s="65" t="s">
        <v>136</v>
      </c>
      <c r="U19" s="7"/>
      <c r="V19" s="7"/>
      <c r="W19" s="29"/>
      <c r="X19" s="7"/>
      <c r="Y19" s="29" t="s">
        <v>136</v>
      </c>
      <c r="Z19" s="44"/>
    </row>
    <row r="20" spans="1:26" ht="283.5" customHeight="1" x14ac:dyDescent="0.3">
      <c r="A20" s="3" t="s">
        <v>217</v>
      </c>
      <c r="B20" s="20">
        <v>10</v>
      </c>
      <c r="C20" s="20" t="s">
        <v>218</v>
      </c>
      <c r="D20" s="20" t="s">
        <v>141</v>
      </c>
      <c r="E20" s="4" t="s">
        <v>219</v>
      </c>
      <c r="F20" s="4" t="s">
        <v>220</v>
      </c>
      <c r="G20" s="25">
        <v>0.85</v>
      </c>
      <c r="H20" s="4" t="s">
        <v>221</v>
      </c>
      <c r="I20" s="4" t="s">
        <v>222</v>
      </c>
      <c r="J20" s="2" t="s">
        <v>223</v>
      </c>
      <c r="K20" s="4" t="s">
        <v>224</v>
      </c>
      <c r="L20" s="3" t="s">
        <v>225</v>
      </c>
      <c r="M20" s="20" t="s">
        <v>167</v>
      </c>
      <c r="N20" s="42"/>
      <c r="O20" s="20"/>
      <c r="P20" s="20"/>
      <c r="Q20" s="42"/>
      <c r="R20" s="7"/>
      <c r="S20" s="65" t="s">
        <v>136</v>
      </c>
      <c r="T20" s="7"/>
      <c r="U20" s="7"/>
      <c r="V20" s="7"/>
      <c r="W20" s="7"/>
      <c r="X20" s="7"/>
      <c r="Y20" s="29" t="s">
        <v>136</v>
      </c>
      <c r="Z20" s="44"/>
    </row>
    <row r="21" spans="1:26" ht="331.5" customHeight="1" x14ac:dyDescent="0.3">
      <c r="A21" s="3" t="s">
        <v>217</v>
      </c>
      <c r="B21" s="20">
        <v>11</v>
      </c>
      <c r="C21" s="20" t="s">
        <v>218</v>
      </c>
      <c r="D21" s="20" t="s">
        <v>140</v>
      </c>
      <c r="E21" s="4" t="s">
        <v>235</v>
      </c>
      <c r="F21" s="4" t="s">
        <v>236</v>
      </c>
      <c r="G21" s="25">
        <v>0.85</v>
      </c>
      <c r="H21" s="4" t="s">
        <v>237</v>
      </c>
      <c r="I21" s="4" t="s">
        <v>238</v>
      </c>
      <c r="J21" s="2" t="s">
        <v>239</v>
      </c>
      <c r="K21" s="8" t="s">
        <v>224</v>
      </c>
      <c r="L21" s="3" t="s">
        <v>225</v>
      </c>
      <c r="M21" s="20" t="s">
        <v>167</v>
      </c>
      <c r="N21" s="42"/>
      <c r="O21" s="20"/>
      <c r="P21" s="20"/>
      <c r="Q21" s="42"/>
      <c r="R21" s="7"/>
      <c r="S21" s="65" t="s">
        <v>136</v>
      </c>
      <c r="T21" s="7"/>
      <c r="U21" s="7"/>
      <c r="V21" s="7"/>
      <c r="W21" s="7"/>
      <c r="X21" s="7"/>
      <c r="Y21" s="29" t="s">
        <v>136</v>
      </c>
      <c r="Z21" s="7"/>
    </row>
    <row r="22" spans="1:26" ht="330.75" customHeight="1" x14ac:dyDescent="0.3">
      <c r="A22" s="3" t="s">
        <v>217</v>
      </c>
      <c r="B22" s="20">
        <v>12</v>
      </c>
      <c r="C22" s="20" t="s">
        <v>66</v>
      </c>
      <c r="D22" s="20" t="s">
        <v>140</v>
      </c>
      <c r="E22" s="4" t="s">
        <v>235</v>
      </c>
      <c r="F22" s="4" t="s">
        <v>240</v>
      </c>
      <c r="G22" s="25">
        <v>0.75</v>
      </c>
      <c r="H22" s="4" t="s">
        <v>241</v>
      </c>
      <c r="I22" s="4" t="s">
        <v>242</v>
      </c>
      <c r="J22" s="2" t="s">
        <v>243</v>
      </c>
      <c r="K22" s="4" t="s">
        <v>244</v>
      </c>
      <c r="L22" s="3" t="s">
        <v>225</v>
      </c>
      <c r="M22" s="20" t="s">
        <v>167</v>
      </c>
      <c r="N22" s="42"/>
      <c r="O22" s="20"/>
      <c r="P22" s="20"/>
      <c r="Q22" s="42"/>
      <c r="R22" s="7"/>
      <c r="S22" s="65" t="s">
        <v>136</v>
      </c>
      <c r="T22" s="7"/>
      <c r="U22" s="7"/>
      <c r="V22" s="7"/>
      <c r="W22" s="7"/>
      <c r="X22" s="7"/>
      <c r="Y22" s="29" t="s">
        <v>136</v>
      </c>
      <c r="Z22" s="7"/>
    </row>
    <row r="23" spans="1:26" ht="189.75" customHeight="1" x14ac:dyDescent="0.3">
      <c r="A23" s="3" t="s">
        <v>217</v>
      </c>
      <c r="B23" s="20">
        <v>13</v>
      </c>
      <c r="C23" s="3" t="s">
        <v>245</v>
      </c>
      <c r="D23" s="20" t="s">
        <v>140</v>
      </c>
      <c r="E23" s="101" t="s">
        <v>235</v>
      </c>
      <c r="F23" s="101" t="s">
        <v>240</v>
      </c>
      <c r="G23" s="25">
        <v>0.75</v>
      </c>
      <c r="H23" s="101" t="s">
        <v>246</v>
      </c>
      <c r="I23" s="4" t="s">
        <v>247</v>
      </c>
      <c r="J23" s="101" t="s">
        <v>248</v>
      </c>
      <c r="K23" s="101" t="s">
        <v>249</v>
      </c>
      <c r="L23" s="104" t="s">
        <v>225</v>
      </c>
      <c r="M23" s="20" t="s">
        <v>167</v>
      </c>
      <c r="N23" s="42"/>
      <c r="O23" s="20"/>
      <c r="P23" s="20"/>
      <c r="Q23" s="42"/>
      <c r="R23" s="7"/>
      <c r="S23" s="65" t="s">
        <v>136</v>
      </c>
      <c r="T23" s="7"/>
      <c r="U23" s="7"/>
      <c r="V23" s="7"/>
      <c r="W23" s="7"/>
      <c r="X23" s="7"/>
      <c r="Y23" s="29" t="s">
        <v>136</v>
      </c>
      <c r="Z23" s="7"/>
    </row>
    <row r="24" spans="1:26" ht="174" customHeight="1" x14ac:dyDescent="0.3">
      <c r="A24" s="3" t="s">
        <v>217</v>
      </c>
      <c r="B24" s="20">
        <v>14</v>
      </c>
      <c r="C24" s="3" t="s">
        <v>250</v>
      </c>
      <c r="D24" s="20" t="s">
        <v>140</v>
      </c>
      <c r="E24" s="101"/>
      <c r="F24" s="101"/>
      <c r="G24" s="25">
        <v>0.75</v>
      </c>
      <c r="H24" s="101"/>
      <c r="I24" s="4" t="s">
        <v>251</v>
      </c>
      <c r="J24" s="101"/>
      <c r="K24" s="101"/>
      <c r="L24" s="104"/>
      <c r="M24" s="20" t="s">
        <v>167</v>
      </c>
      <c r="N24" s="42"/>
      <c r="O24" s="20"/>
      <c r="P24" s="20"/>
      <c r="Q24" s="42"/>
      <c r="R24" s="7"/>
      <c r="S24" s="65" t="s">
        <v>136</v>
      </c>
      <c r="T24" s="7"/>
      <c r="U24" s="7"/>
      <c r="V24" s="7"/>
      <c r="W24" s="7"/>
      <c r="X24" s="7"/>
      <c r="Y24" s="29" t="s">
        <v>136</v>
      </c>
      <c r="Z24" s="7"/>
    </row>
    <row r="25" spans="1:26" ht="171" customHeight="1" x14ac:dyDescent="0.3">
      <c r="A25" s="3" t="s">
        <v>217</v>
      </c>
      <c r="B25" s="20">
        <v>15</v>
      </c>
      <c r="C25" s="3" t="s">
        <v>252</v>
      </c>
      <c r="D25" s="20" t="s">
        <v>140</v>
      </c>
      <c r="E25" s="101"/>
      <c r="F25" s="101"/>
      <c r="G25" s="25">
        <v>0.75</v>
      </c>
      <c r="H25" s="101"/>
      <c r="I25" s="4" t="s">
        <v>253</v>
      </c>
      <c r="J25" s="101"/>
      <c r="K25" s="101"/>
      <c r="L25" s="104"/>
      <c r="M25" s="20" t="s">
        <v>167</v>
      </c>
      <c r="N25" s="42"/>
      <c r="O25" s="20"/>
      <c r="P25" s="20"/>
      <c r="Q25" s="42"/>
      <c r="R25" s="7"/>
      <c r="S25" s="65" t="s">
        <v>136</v>
      </c>
      <c r="T25" s="7"/>
      <c r="U25" s="7"/>
      <c r="V25" s="7"/>
      <c r="W25" s="7"/>
      <c r="X25" s="7"/>
      <c r="Y25" s="29" t="s">
        <v>136</v>
      </c>
      <c r="Z25" s="7"/>
    </row>
    <row r="26" spans="1:26" ht="277.5" customHeight="1" x14ac:dyDescent="0.3">
      <c r="A26" s="3" t="s">
        <v>265</v>
      </c>
      <c r="B26" s="20">
        <v>16</v>
      </c>
      <c r="C26" s="3" t="s">
        <v>254</v>
      </c>
      <c r="D26" s="20" t="s">
        <v>140</v>
      </c>
      <c r="E26" s="101"/>
      <c r="F26" s="101"/>
      <c r="G26" s="25">
        <v>0.75</v>
      </c>
      <c r="H26" s="4" t="s">
        <v>255</v>
      </c>
      <c r="I26" s="4" t="s">
        <v>256</v>
      </c>
      <c r="J26" s="2" t="s">
        <v>257</v>
      </c>
      <c r="K26" s="4" t="s">
        <v>258</v>
      </c>
      <c r="L26" s="3" t="s">
        <v>225</v>
      </c>
      <c r="M26" s="20" t="s">
        <v>167</v>
      </c>
      <c r="N26" s="42"/>
      <c r="O26" s="20"/>
      <c r="P26" s="20"/>
      <c r="Q26" s="42"/>
      <c r="R26" s="7"/>
      <c r="S26" s="65" t="s">
        <v>136</v>
      </c>
      <c r="T26" s="7"/>
      <c r="U26" s="7"/>
      <c r="V26" s="7"/>
      <c r="W26" s="7"/>
      <c r="X26" s="7"/>
      <c r="Y26" s="29" t="s">
        <v>136</v>
      </c>
      <c r="Z26" s="7"/>
    </row>
    <row r="27" spans="1:26" ht="93.75" customHeight="1" x14ac:dyDescent="0.3">
      <c r="A27" s="3" t="s">
        <v>283</v>
      </c>
      <c r="B27" s="20">
        <v>17</v>
      </c>
      <c r="C27" s="20" t="s">
        <v>284</v>
      </c>
      <c r="D27" s="20"/>
      <c r="E27" s="4" t="s">
        <v>285</v>
      </c>
      <c r="F27" s="9" t="s">
        <v>286</v>
      </c>
      <c r="G27" s="20" t="s">
        <v>286</v>
      </c>
      <c r="H27" s="9" t="s">
        <v>286</v>
      </c>
      <c r="I27" s="9" t="s">
        <v>286</v>
      </c>
      <c r="J27" s="4" t="s">
        <v>287</v>
      </c>
      <c r="K27" s="4" t="s">
        <v>298</v>
      </c>
      <c r="L27" s="3" t="s">
        <v>225</v>
      </c>
      <c r="M27" s="20" t="s">
        <v>31</v>
      </c>
      <c r="N27" s="42"/>
      <c r="O27" s="74">
        <v>1</v>
      </c>
      <c r="P27" s="20"/>
      <c r="Q27" s="42"/>
      <c r="R27" s="7"/>
      <c r="S27" s="7"/>
      <c r="T27" s="5" t="s">
        <v>136</v>
      </c>
      <c r="U27" s="7"/>
      <c r="V27" s="7"/>
      <c r="W27" s="7"/>
      <c r="X27" s="5" t="s">
        <v>136</v>
      </c>
      <c r="Y27" s="7"/>
      <c r="Z27" s="7"/>
    </row>
    <row r="28" spans="1:26" ht="165" customHeight="1" x14ac:dyDescent="0.3">
      <c r="A28" s="3" t="s">
        <v>300</v>
      </c>
      <c r="B28" s="20">
        <v>18</v>
      </c>
      <c r="C28" s="20" t="s">
        <v>284</v>
      </c>
      <c r="D28" s="20" t="s">
        <v>292</v>
      </c>
      <c r="E28" s="4" t="s">
        <v>293</v>
      </c>
      <c r="F28" s="62" t="s">
        <v>304</v>
      </c>
      <c r="G28" s="25">
        <v>0.75</v>
      </c>
      <c r="H28" s="4" t="s">
        <v>294</v>
      </c>
      <c r="I28" s="4" t="s">
        <v>295</v>
      </c>
      <c r="J28" s="4" t="s">
        <v>296</v>
      </c>
      <c r="K28" s="4" t="s">
        <v>297</v>
      </c>
      <c r="L28" s="3" t="s">
        <v>299</v>
      </c>
      <c r="M28" s="20" t="s">
        <v>167</v>
      </c>
      <c r="N28" s="74">
        <v>1</v>
      </c>
      <c r="O28" s="20"/>
      <c r="P28" s="20"/>
      <c r="Q28" s="42"/>
      <c r="R28" s="7"/>
      <c r="S28" s="5" t="s">
        <v>136</v>
      </c>
      <c r="T28" s="7"/>
      <c r="U28" s="7"/>
      <c r="V28" s="7"/>
      <c r="W28" s="7"/>
      <c r="X28" s="7"/>
      <c r="Y28" s="5" t="s">
        <v>136</v>
      </c>
      <c r="Z28" s="7"/>
    </row>
    <row r="29" spans="1:26" ht="162" customHeight="1" x14ac:dyDescent="0.3">
      <c r="A29" s="3" t="s">
        <v>354</v>
      </c>
      <c r="B29" s="20">
        <v>19</v>
      </c>
      <c r="C29" s="20" t="s">
        <v>355</v>
      </c>
      <c r="D29" s="20" t="s">
        <v>142</v>
      </c>
      <c r="E29" s="4" t="s">
        <v>356</v>
      </c>
      <c r="F29" s="4" t="s">
        <v>357</v>
      </c>
      <c r="G29" s="25">
        <v>0.8</v>
      </c>
      <c r="H29" s="4" t="s">
        <v>358</v>
      </c>
      <c r="I29" s="4" t="s">
        <v>359</v>
      </c>
      <c r="J29" s="4" t="s">
        <v>360</v>
      </c>
      <c r="K29" s="2" t="s">
        <v>361</v>
      </c>
      <c r="L29" s="20" t="s">
        <v>362</v>
      </c>
      <c r="M29" s="20" t="s">
        <v>167</v>
      </c>
      <c r="N29" s="42"/>
      <c r="O29" s="20"/>
      <c r="P29" s="5"/>
      <c r="Q29" s="42"/>
      <c r="R29" s="7"/>
      <c r="S29" s="5" t="s">
        <v>136</v>
      </c>
      <c r="T29" s="7"/>
      <c r="U29" s="7"/>
      <c r="V29" s="5"/>
      <c r="W29" s="7"/>
      <c r="X29" s="7"/>
      <c r="Y29" s="5" t="s">
        <v>136</v>
      </c>
      <c r="Z29" s="7"/>
    </row>
  </sheetData>
  <mergeCells count="34">
    <mergeCell ref="N15:S15"/>
    <mergeCell ref="H23:H25"/>
    <mergeCell ref="J23:J25"/>
    <mergeCell ref="K23:K25"/>
    <mergeCell ref="L23:L25"/>
    <mergeCell ref="E23:E26"/>
    <mergeCell ref="F23:F26"/>
    <mergeCell ref="D14:D16"/>
    <mergeCell ref="E14:E16"/>
    <mergeCell ref="L8:L12"/>
    <mergeCell ref="H8:H12"/>
    <mergeCell ref="I8:I12"/>
    <mergeCell ref="G14:G16"/>
    <mergeCell ref="F14:F16"/>
    <mergeCell ref="M8:M12"/>
    <mergeCell ref="J3:J7"/>
    <mergeCell ref="K3:K7"/>
    <mergeCell ref="L3:L7"/>
    <mergeCell ref="M3:M7"/>
    <mergeCell ref="J8:J12"/>
    <mergeCell ref="K8:K12"/>
    <mergeCell ref="H3:H7"/>
    <mergeCell ref="I3:I7"/>
    <mergeCell ref="A3:A7"/>
    <mergeCell ref="A8:A12"/>
    <mergeCell ref="G3:G7"/>
    <mergeCell ref="B3:B7"/>
    <mergeCell ref="B8:B12"/>
    <mergeCell ref="D8:D12"/>
    <mergeCell ref="E3:E12"/>
    <mergeCell ref="F8:F12"/>
    <mergeCell ref="D3:D7"/>
    <mergeCell ref="F3:F7"/>
    <mergeCell ref="G8:G12"/>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A1:N20"/>
  <sheetViews>
    <sheetView topLeftCell="C4" workbookViewId="0">
      <selection activeCell="D17" sqref="D17"/>
    </sheetView>
  </sheetViews>
  <sheetFormatPr baseColWidth="10" defaultRowHeight="14.4" x14ac:dyDescent="0.3"/>
  <cols>
    <col min="1" max="1" width="8.5546875" customWidth="1"/>
    <col min="2" max="2" width="23.109375" customWidth="1"/>
    <col min="3" max="3" width="19.5546875" customWidth="1"/>
    <col min="4" max="4" width="19.6640625" customWidth="1"/>
    <col min="5" max="5" width="23" customWidth="1"/>
    <col min="7" max="7" width="28.5546875" customWidth="1"/>
    <col min="8" max="8" width="14.6640625" customWidth="1"/>
    <col min="9" max="9" width="9.6640625" customWidth="1"/>
    <col min="10" max="10" width="5.109375" customWidth="1"/>
    <col min="11" max="11" width="4.88671875" customWidth="1"/>
    <col min="12" max="12" width="5" customWidth="1"/>
    <col min="13" max="13" width="9.33203125" customWidth="1"/>
    <col min="14" max="14" width="10.6640625" customWidth="1"/>
  </cols>
  <sheetData>
    <row r="1" spans="1:14" ht="28.8" x14ac:dyDescent="0.3">
      <c r="D1" s="88" t="s">
        <v>401</v>
      </c>
      <c r="E1" s="87">
        <v>46074</v>
      </c>
    </row>
    <row r="2" spans="1:14" ht="43.2" x14ac:dyDescent="0.3">
      <c r="A2" s="15" t="s">
        <v>15</v>
      </c>
      <c r="B2" s="15" t="s">
        <v>0</v>
      </c>
      <c r="C2" s="47" t="s">
        <v>147</v>
      </c>
      <c r="D2" s="15" t="s">
        <v>1</v>
      </c>
      <c r="E2" s="15" t="s">
        <v>2</v>
      </c>
      <c r="F2" s="15" t="s">
        <v>3</v>
      </c>
      <c r="G2" s="15" t="s">
        <v>6</v>
      </c>
      <c r="H2" s="12" t="s">
        <v>206</v>
      </c>
      <c r="I2" s="12" t="s">
        <v>205</v>
      </c>
      <c r="J2" s="12">
        <v>2024</v>
      </c>
      <c r="K2" s="12">
        <v>2025</v>
      </c>
      <c r="L2" s="12">
        <v>2026</v>
      </c>
      <c r="M2" s="52" t="s">
        <v>208</v>
      </c>
      <c r="N2" s="12" t="s">
        <v>209</v>
      </c>
    </row>
    <row r="3" spans="1:14" ht="46.5" customHeight="1" x14ac:dyDescent="0.3">
      <c r="A3" s="102" t="s">
        <v>139</v>
      </c>
      <c r="B3" s="104" t="s">
        <v>199</v>
      </c>
      <c r="C3" s="103" t="s">
        <v>200</v>
      </c>
      <c r="D3" s="104" t="s">
        <v>201</v>
      </c>
      <c r="E3" s="104" t="s">
        <v>203</v>
      </c>
      <c r="F3" s="128">
        <v>46387</v>
      </c>
      <c r="G3" s="104" t="s">
        <v>204</v>
      </c>
      <c r="H3" s="2" t="s">
        <v>207</v>
      </c>
      <c r="I3" s="48">
        <v>1</v>
      </c>
      <c r="J3" s="42"/>
      <c r="K3" s="42">
        <v>2</v>
      </c>
      <c r="L3" s="42"/>
      <c r="M3" s="42">
        <v>3</v>
      </c>
      <c r="N3" s="49">
        <f>SUM(I3:L3)/M3</f>
        <v>1</v>
      </c>
    </row>
    <row r="4" spans="1:14" x14ac:dyDescent="0.3">
      <c r="A4" s="102"/>
      <c r="B4" s="104"/>
      <c r="C4" s="103"/>
      <c r="D4" s="104"/>
      <c r="E4" s="104"/>
      <c r="F4" s="128"/>
      <c r="G4" s="104"/>
      <c r="H4" s="2" t="s">
        <v>210</v>
      </c>
      <c r="I4" s="48">
        <v>7</v>
      </c>
      <c r="J4" s="20"/>
      <c r="K4" s="20">
        <v>1</v>
      </c>
      <c r="L4" s="20"/>
      <c r="M4" s="42">
        <v>9</v>
      </c>
      <c r="N4" s="49">
        <f t="shared" ref="N4:N8" si="0">SUM(I4:L4)/M4</f>
        <v>0.88888888888888884</v>
      </c>
    </row>
    <row r="5" spans="1:14" x14ac:dyDescent="0.3">
      <c r="A5" s="102"/>
      <c r="B5" s="104"/>
      <c r="C5" s="103"/>
      <c r="D5" s="104"/>
      <c r="E5" s="104"/>
      <c r="F5" s="128"/>
      <c r="G5" s="104"/>
      <c r="H5" s="2" t="s">
        <v>211</v>
      </c>
      <c r="I5" s="48">
        <v>4</v>
      </c>
      <c r="J5" s="20"/>
      <c r="K5" s="20">
        <v>1</v>
      </c>
      <c r="L5" s="20">
        <v>1</v>
      </c>
      <c r="M5" s="42">
        <v>6</v>
      </c>
      <c r="N5" s="86">
        <f t="shared" si="0"/>
        <v>1</v>
      </c>
    </row>
    <row r="6" spans="1:14" x14ac:dyDescent="0.3">
      <c r="A6" s="102"/>
      <c r="B6" s="104"/>
      <c r="C6" s="103"/>
      <c r="D6" s="104"/>
      <c r="E6" s="104"/>
      <c r="F6" s="128"/>
      <c r="G6" s="104"/>
      <c r="H6" s="2" t="s">
        <v>212</v>
      </c>
      <c r="I6" s="48">
        <v>4</v>
      </c>
      <c r="J6" s="20"/>
      <c r="K6" s="20">
        <v>2</v>
      </c>
      <c r="L6" s="20">
        <v>1</v>
      </c>
      <c r="M6" s="42">
        <v>8</v>
      </c>
      <c r="N6" s="86">
        <f t="shared" si="0"/>
        <v>0.875</v>
      </c>
    </row>
    <row r="7" spans="1:14" x14ac:dyDescent="0.3">
      <c r="A7" s="102"/>
      <c r="B7" s="104"/>
      <c r="C7" s="103"/>
      <c r="D7" s="104"/>
      <c r="E7" s="104"/>
      <c r="F7" s="128"/>
      <c r="G7" s="104"/>
      <c r="H7" s="2" t="s">
        <v>213</v>
      </c>
      <c r="I7" s="48">
        <v>9</v>
      </c>
      <c r="J7" s="20">
        <v>1</v>
      </c>
      <c r="K7" s="20"/>
      <c r="L7" s="20">
        <v>1</v>
      </c>
      <c r="M7" s="42">
        <v>14</v>
      </c>
      <c r="N7" s="69">
        <f t="shared" si="0"/>
        <v>0.7857142857142857</v>
      </c>
    </row>
    <row r="8" spans="1:14" ht="86.4" x14ac:dyDescent="0.3">
      <c r="A8" s="5" t="s">
        <v>139</v>
      </c>
      <c r="B8" s="3" t="s">
        <v>199</v>
      </c>
      <c r="C8" s="45" t="s">
        <v>200</v>
      </c>
      <c r="D8" s="3" t="s">
        <v>202</v>
      </c>
      <c r="E8" s="3" t="s">
        <v>203</v>
      </c>
      <c r="F8" s="50">
        <v>46387</v>
      </c>
      <c r="G8" s="3" t="s">
        <v>215</v>
      </c>
      <c r="H8" s="3" t="s">
        <v>214</v>
      </c>
      <c r="I8" s="3">
        <v>49</v>
      </c>
      <c r="J8" s="20">
        <v>2</v>
      </c>
      <c r="K8" s="20">
        <v>10</v>
      </c>
      <c r="L8" s="20">
        <v>6</v>
      </c>
      <c r="M8" s="20">
        <v>80</v>
      </c>
      <c r="N8" s="51">
        <f t="shared" si="0"/>
        <v>0.83750000000000002</v>
      </c>
    </row>
    <row r="10" spans="1:14" x14ac:dyDescent="0.3">
      <c r="C10" s="53" t="s">
        <v>412</v>
      </c>
    </row>
    <row r="11" spans="1:14" x14ac:dyDescent="0.3">
      <c r="C11" t="s">
        <v>402</v>
      </c>
      <c r="D11" t="s">
        <v>408</v>
      </c>
    </row>
    <row r="12" spans="1:14" x14ac:dyDescent="0.3">
      <c r="C12" t="s">
        <v>259</v>
      </c>
    </row>
    <row r="13" spans="1:14" x14ac:dyDescent="0.3">
      <c r="C13" t="s">
        <v>403</v>
      </c>
      <c r="D13" t="s">
        <v>261</v>
      </c>
    </row>
    <row r="14" spans="1:14" x14ac:dyDescent="0.3">
      <c r="C14" t="s">
        <v>404</v>
      </c>
      <c r="D14" t="s">
        <v>281</v>
      </c>
    </row>
    <row r="15" spans="1:14" x14ac:dyDescent="0.3">
      <c r="D15" t="s">
        <v>409</v>
      </c>
    </row>
    <row r="16" spans="1:14" x14ac:dyDescent="0.3">
      <c r="C16" t="s">
        <v>405</v>
      </c>
      <c r="D16" t="s">
        <v>410</v>
      </c>
    </row>
    <row r="17" spans="3:4" x14ac:dyDescent="0.3">
      <c r="C17" t="s">
        <v>414</v>
      </c>
      <c r="D17" t="s">
        <v>411</v>
      </c>
    </row>
    <row r="18" spans="3:4" x14ac:dyDescent="0.3">
      <c r="C18" t="s">
        <v>406</v>
      </c>
    </row>
    <row r="19" spans="3:4" x14ac:dyDescent="0.3">
      <c r="C19" t="s">
        <v>260</v>
      </c>
    </row>
    <row r="20" spans="3:4" x14ac:dyDescent="0.3">
      <c r="C20" t="s">
        <v>407</v>
      </c>
    </row>
  </sheetData>
  <mergeCells count="7">
    <mergeCell ref="G3:G7"/>
    <mergeCell ref="B3:B7"/>
    <mergeCell ref="A3:A7"/>
    <mergeCell ref="C3:C7"/>
    <mergeCell ref="D3:D7"/>
    <mergeCell ref="E3:E7"/>
    <mergeCell ref="F3:F7"/>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programa de calidad anual</vt:lpstr>
      <vt:lpstr>Carga Gant  2026</vt:lpstr>
      <vt:lpstr>CONSTATABLES</vt:lpstr>
      <vt:lpstr>PROGRAMA DE SUPERVISION</vt:lpstr>
      <vt:lpstr>EXCEL DRIVE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2026-03-29T13:15:02Z</dcterms:modified>
</cp:coreProperties>
</file>