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ristian cárdenas\Desktop\CALIDAD\CALIDAD 2.0\CALIDAD PROTOCOS A REVISAR\Características No Obligatorias\AMBITO RECURSO HUMANO\RH 4.2\pautas constatacion protocolo cortopunzante\2022\"/>
    </mc:Choice>
  </mc:AlternateContent>
  <bookViews>
    <workbookView xWindow="0" yWindow="0" windowWidth="20490" windowHeight="7755"/>
  </bookViews>
  <sheets>
    <sheet name="codigo azul" sheetId="1" r:id="rId1"/>
    <sheet name="Hoja1" sheetId="2" state="hidden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2" l="1"/>
  <c r="C17" i="2"/>
  <c r="C18" i="2"/>
  <c r="C19" i="2"/>
  <c r="C20" i="2"/>
  <c r="C21" i="2"/>
  <c r="C22" i="2"/>
  <c r="B16" i="2"/>
  <c r="B17" i="2"/>
  <c r="B18" i="2"/>
  <c r="B19" i="2"/>
  <c r="B20" i="2"/>
  <c r="B21" i="2"/>
  <c r="B22" i="2"/>
  <c r="C5" i="2" l="1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C4" i="2"/>
  <c r="D12" i="1" s="1"/>
  <c r="D4" i="2"/>
  <c r="E12" i="1" s="1"/>
  <c r="E4" i="2"/>
  <c r="F12" i="1" s="1"/>
  <c r="F4" i="2"/>
  <c r="G12" i="1" s="1"/>
  <c r="G4" i="2"/>
  <c r="H4" i="2"/>
  <c r="I4" i="2"/>
  <c r="J4" i="2"/>
  <c r="K4" i="2"/>
  <c r="L12" i="1" s="1"/>
  <c r="L4" i="2"/>
  <c r="M12" i="1" s="1"/>
  <c r="M4" i="2"/>
  <c r="N12" i="1" s="1"/>
  <c r="N4" i="2"/>
  <c r="O12" i="1" s="1"/>
  <c r="O4" i="2"/>
  <c r="P4" i="2"/>
  <c r="Q4" i="2"/>
  <c r="R4" i="2"/>
  <c r="S12" i="1" s="1"/>
  <c r="S4" i="2"/>
  <c r="T12" i="1" s="1"/>
  <c r="T4" i="2"/>
  <c r="U4" i="2"/>
  <c r="V12" i="1" s="1"/>
  <c r="V4" i="2"/>
  <c r="W12" i="1" s="1"/>
  <c r="W4" i="2"/>
  <c r="X12" i="1" s="1"/>
  <c r="X4" i="2"/>
  <c r="Y12" i="1" s="1"/>
  <c r="Y4" i="2"/>
  <c r="Z4" i="2"/>
  <c r="AA12" i="1" s="1"/>
  <c r="AA4" i="2"/>
  <c r="AB12" i="1" s="1"/>
  <c r="AB4" i="2"/>
  <c r="AC4" i="2"/>
  <c r="AD12" i="1" s="1"/>
  <c r="AD4" i="2"/>
  <c r="AE12" i="1" s="1"/>
  <c r="AE4" i="2"/>
  <c r="AF12" i="1" s="1"/>
  <c r="AF4" i="2"/>
  <c r="AG12" i="1" s="1"/>
  <c r="AG4" i="2"/>
  <c r="AH4" i="2"/>
  <c r="AI12" i="1" s="1"/>
  <c r="AI4" i="2"/>
  <c r="AJ4" i="2"/>
  <c r="AK4" i="2"/>
  <c r="AL4" i="2"/>
  <c r="B5" i="2"/>
  <c r="B4" i="2"/>
  <c r="K12" i="1" l="1"/>
  <c r="J12" i="1"/>
  <c r="Q12" i="1"/>
  <c r="I12" i="1"/>
  <c r="P12" i="1"/>
  <c r="H12" i="1"/>
  <c r="C12" i="1"/>
  <c r="AC12" i="1"/>
  <c r="U12" i="1"/>
  <c r="AH12" i="1"/>
  <c r="Z12" i="1"/>
  <c r="R12" i="1"/>
  <c r="B8" i="2" l="1"/>
  <c r="C8" i="2"/>
</calcChain>
</file>

<file path=xl/sharedStrings.xml><?xml version="1.0" encoding="utf-8"?>
<sst xmlns="http://schemas.openxmlformats.org/spreadsheetml/2006/main" count="31" uniqueCount="31">
  <si>
    <t>Manos y muñecas libres de accesorios</t>
  </si>
  <si>
    <t>Se mojan manos con agua corriente</t>
  </si>
  <si>
    <t>Se aplica jabón de dispensador</t>
  </si>
  <si>
    <t>Se friccionan dedos y manos poniendo énfasis en espacios interdigitales</t>
  </si>
  <si>
    <t>Se enjuaga manos con abundante agua sin dejar jabón residual</t>
  </si>
  <si>
    <t>Se seca con toalla desechable</t>
  </si>
  <si>
    <t>Cierra la llave sin contaminar manos</t>
  </si>
  <si>
    <t>Item 2</t>
  </si>
  <si>
    <t>Item 3</t>
  </si>
  <si>
    <t>Item 4</t>
  </si>
  <si>
    <t>Item 5</t>
  </si>
  <si>
    <t>Item 6</t>
  </si>
  <si>
    <t>UNIDAD:</t>
  </si>
  <si>
    <t>FUNCIONARIO:</t>
  </si>
  <si>
    <t>Aprobados</t>
  </si>
  <si>
    <t>Reprobados</t>
  </si>
  <si>
    <t>CONDUCTA:(completar con si/no)</t>
  </si>
  <si>
    <t>Criterios</t>
  </si>
  <si>
    <t>SI</t>
  </si>
  <si>
    <t>NO</t>
  </si>
  <si>
    <t>FECHA:</t>
  </si>
  <si>
    <t>Resultado</t>
  </si>
  <si>
    <t>OBSERVACIÓN: SE OBTIENE UN TAMAÑO MUESTRAL DE 30 PERSONAS EN EL PERIODO, CON UNA DESVIACIÓN ESTÁNDAR DE 1 Y MARGEN DE ERROR DE 0.5%</t>
  </si>
  <si>
    <t>PERIODO CADA 6 MESES CON CUMPLIMIENTO PROGRESIVO DEFINIDO EN EVALUACION INSTITUCIONAL ANUAL. POR MES 5 PERSONAS ENCUESTADAS.</t>
  </si>
  <si>
    <t>CONSTATACIÓN EN TERRENO PROTOCOLO DE MANEJO DE ACCIDENTES RELACIONADOS CON SANGRE O FLUIDOS CORPORALES DE RIESGO</t>
  </si>
  <si>
    <t>PRIORIZAR: URGENCIA- DENTAL- TOMA DE MUESTRAS</t>
  </si>
  <si>
    <t>¿Ha leído el protocolo?</t>
  </si>
  <si>
    <t>Nombre 2 medidas generales para evitar accidentes con objetos contaminados (cortopunzantes)</t>
  </si>
  <si>
    <t xml:space="preserve">Nombra los pasos de manejo inmediato ante un accidente cortopunzante </t>
  </si>
  <si>
    <t>Conoce los documentos que debe presentar ante un accidente.</t>
  </si>
  <si>
    <t>¿Qué rol juega la Dirección y el Comité paritario en el protocolo?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</si>
</sst>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EEAF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wrapText="1"/>
    </xf>
    <xf numFmtId="0" fontId="0" fillId="0" borderId="0" xfId="0" applyAlignment="1">
      <alignment vertical="top"/>
    </xf>
    <xf numFmtId="0" fontId="0" fillId="0" borderId="9" xfId="0" applyBorder="1" applyAlignment="1">
      <alignment wrapText="1"/>
    </xf>
    <xf numFmtId="0" fontId="0" fillId="0" borderId="0" xfId="0" applyBorder="1" applyAlignment="1">
      <alignment wrapText="1"/>
    </xf>
    <xf numFmtId="0" fontId="2" fillId="2" borderId="3" xfId="0" applyFont="1" applyFill="1" applyBorder="1"/>
    <xf numFmtId="0" fontId="2" fillId="0" borderId="3" xfId="0" applyFont="1" applyBorder="1" applyProtection="1"/>
    <xf numFmtId="0" fontId="2" fillId="0" borderId="3" xfId="0" applyFont="1" applyBorder="1" applyAlignment="1" applyProtection="1">
      <alignment horizontal="left" vertical="center"/>
    </xf>
    <xf numFmtId="0" fontId="2" fillId="0" borderId="4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7" xfId="0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2" fillId="0" borderId="10" xfId="0" applyFont="1" applyBorder="1" applyAlignment="1" applyProtection="1">
      <alignment vertical="top" wrapText="1"/>
    </xf>
    <xf numFmtId="0" fontId="1" fillId="0" borderId="4" xfId="0" applyFont="1" applyBorder="1" applyAlignment="1" applyProtection="1">
      <alignment horizontal="right"/>
    </xf>
    <xf numFmtId="0" fontId="1" fillId="3" borderId="5" xfId="0" applyFont="1" applyFill="1" applyBorder="1" applyAlignment="1" applyProtection="1">
      <alignment horizontal="center"/>
    </xf>
    <xf numFmtId="0" fontId="2" fillId="0" borderId="0" xfId="0" applyFont="1" applyBorder="1" applyProtection="1">
      <protection locked="0"/>
    </xf>
    <xf numFmtId="0" fontId="1" fillId="0" borderId="11" xfId="0" applyFont="1" applyBorder="1" applyAlignment="1" applyProtection="1">
      <alignment horizontal="right"/>
    </xf>
    <xf numFmtId="0" fontId="2" fillId="0" borderId="11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14" fontId="1" fillId="0" borderId="4" xfId="0" applyNumberFormat="1" applyFont="1" applyBorder="1" applyAlignment="1" applyProtection="1">
      <alignment horizontal="left"/>
    </xf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2" fillId="2" borderId="4" xfId="0" applyFont="1" applyFill="1" applyBorder="1" applyProtection="1">
      <protection locked="0"/>
    </xf>
    <xf numFmtId="0" fontId="2" fillId="2" borderId="11" xfId="0" applyFont="1" applyFill="1" applyBorder="1" applyProtection="1">
      <protection locked="0"/>
    </xf>
    <xf numFmtId="14" fontId="1" fillId="2" borderId="4" xfId="0" applyNumberFormat="1" applyFont="1" applyFill="1" applyBorder="1" applyAlignment="1" applyProtection="1">
      <alignment horizontal="left"/>
    </xf>
    <xf numFmtId="0" fontId="1" fillId="2" borderId="1" xfId="0" applyFont="1" applyFill="1" applyBorder="1" applyProtection="1">
      <protection locked="0"/>
    </xf>
    <xf numFmtId="0" fontId="2" fillId="2" borderId="3" xfId="0" applyFont="1" applyFill="1" applyBorder="1" applyProtection="1"/>
    <xf numFmtId="0" fontId="2" fillId="0" borderId="15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0" borderId="19" xfId="0" applyFont="1" applyBorder="1" applyAlignment="1">
      <alignment vertical="center"/>
    </xf>
    <xf numFmtId="0" fontId="0" fillId="4" borderId="20" xfId="0" applyFill="1" applyBorder="1" applyAlignment="1">
      <alignment wrapText="1"/>
    </xf>
    <xf numFmtId="0" fontId="0" fillId="4" borderId="21" xfId="0" applyFill="1" applyBorder="1" applyAlignment="1">
      <alignment wrapText="1"/>
    </xf>
    <xf numFmtId="0" fontId="1" fillId="5" borderId="20" xfId="0" applyFont="1" applyFill="1" applyBorder="1" applyAlignment="1">
      <alignment vertical="center" wrapText="1"/>
    </xf>
    <xf numFmtId="0" fontId="1" fillId="5" borderId="21" xfId="0" applyFont="1" applyFill="1" applyBorder="1" applyAlignment="1">
      <alignment vertical="center" wrapText="1"/>
    </xf>
    <xf numFmtId="0" fontId="1" fillId="5" borderId="21" xfId="0" applyFont="1" applyFill="1" applyBorder="1" applyAlignment="1">
      <alignment wrapText="1"/>
    </xf>
    <xf numFmtId="14" fontId="3" fillId="0" borderId="17" xfId="0" applyNumberFormat="1" applyFont="1" applyBorder="1" applyAlignment="1">
      <alignment wrapText="1"/>
    </xf>
  </cellXfs>
  <cellStyles count="1">
    <cellStyle name="Normal" xfId="0" builtinId="0"/>
  </cellStyles>
  <dxfs count="63">
    <dxf>
      <numFmt numFmtId="0" formatCode="General"/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/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theme="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Hoja1!$B$7:$C$7</c:f>
              <c:strCache>
                <c:ptCount val="2"/>
                <c:pt idx="0">
                  <c:v>Aprobados</c:v>
                </c:pt>
                <c:pt idx="1">
                  <c:v>Reprobados</c:v>
                </c:pt>
              </c:strCache>
            </c:strRef>
          </c:cat>
          <c:val>
            <c:numRef>
              <c:f>Hoja1!$B$8:$C$8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/>
              <a:t>Comparativa</a:t>
            </a:r>
            <a:r>
              <a:rPr lang="es-ES" sz="1800" b="1" baseline="0"/>
              <a:t> por criterio de evaluación</a:t>
            </a:r>
            <a:endParaRPr lang="es-ES" sz="1800" b="1"/>
          </a:p>
        </c:rich>
      </c:tx>
      <c:layout>
        <c:manualLayout>
          <c:xMode val="edge"/>
          <c:yMode val="edge"/>
          <c:x val="0.27128812343021169"/>
          <c:y val="4.37756560819006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Hoja1!$B$15</c:f>
              <c:strCache>
                <c:ptCount val="1"/>
                <c:pt idx="0">
                  <c:v>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'codigo azul'!$B$7:$B$11</c:f>
              <c:strCache>
                <c:ptCount val="5"/>
                <c:pt idx="0">
                  <c:v>¿Ha leído el protocolo?</c:v>
                </c:pt>
                <c:pt idx="1">
                  <c:v>Nombre 2 medidas generales para evitar accidentes con objetos contaminados (cortopunzantes)</c:v>
                </c:pt>
                <c:pt idx="2">
                  <c:v>Nombra los pasos de manejo inmediato ante un accidente cortopunzante </c:v>
                </c:pt>
                <c:pt idx="3">
                  <c:v>Conoce los documentos que debe presentar ante un accidente.</c:v>
                </c:pt>
                <c:pt idx="4">
                  <c:v>¿Qué rol juega la Dirección y el Comité paritario en el protocolo?</c:v>
                </c:pt>
              </c:strCache>
            </c:strRef>
          </c:cat>
          <c:val>
            <c:numRef>
              <c:f>Hoja1!$B$16:$B$22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Hoja1!$C$15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'codigo azul'!$B$7:$B$11</c:f>
              <c:strCache>
                <c:ptCount val="5"/>
                <c:pt idx="0">
                  <c:v>¿Ha leído el protocolo?</c:v>
                </c:pt>
                <c:pt idx="1">
                  <c:v>Nombre 2 medidas generales para evitar accidentes con objetos contaminados (cortopunzantes)</c:v>
                </c:pt>
                <c:pt idx="2">
                  <c:v>Nombra los pasos de manejo inmediato ante un accidente cortopunzante </c:v>
                </c:pt>
                <c:pt idx="3">
                  <c:v>Conoce los documentos que debe presentar ante un accidente.</c:v>
                </c:pt>
                <c:pt idx="4">
                  <c:v>¿Qué rol juega la Dirección y el Comité paritario en el protocolo?</c:v>
                </c:pt>
              </c:strCache>
            </c:strRef>
          </c:cat>
          <c:val>
            <c:numRef>
              <c:f>Hoja1!$C$16:$C$22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495378256"/>
        <c:axId val="-495367920"/>
      </c:barChart>
      <c:catAx>
        <c:axId val="-49537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495367920"/>
        <c:crosses val="autoZero"/>
        <c:auto val="1"/>
        <c:lblAlgn val="ctr"/>
        <c:lblOffset val="100"/>
        <c:noMultiLvlLbl val="0"/>
      </c:catAx>
      <c:valAx>
        <c:axId val="-4953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49537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01607858759309"/>
          <c:y val="1.5519676496752585E-2"/>
          <c:w val="0.11305640078090347"/>
          <c:h val="0.140780097127955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649940</xdr:colOff>
      <xdr:row>15</xdr:row>
      <xdr:rowOff>113180</xdr:rowOff>
    </xdr:from>
    <xdr:to>
      <xdr:col>6</xdr:col>
      <xdr:colOff>649940</xdr:colOff>
      <xdr:row>29</xdr:row>
      <xdr:rowOff>189380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14</xdr:row>
      <xdr:rowOff>145677</xdr:rowOff>
    </xdr:from>
    <xdr:to>
      <xdr:col>16</xdr:col>
      <xdr:colOff>119342</xdr:colOff>
      <xdr:row>34</xdr:row>
      <xdr:rowOff>112059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5" name="Tabla5" displayName="Tabla5" ref="B7:AI11" headerRowCount="0" totalsRowShown="0" headerRowDxfId="60" dataDxfId="58" headerRowBorderDxfId="59" tableBorderDxfId="57" totalsRowBorderDxfId="56">
  <tableColumns count="34">
    <tableColumn id="1" name="Columna1" headerRowDxfId="55" dataDxfId="54"/>
    <tableColumn id="2" name="Columna2" headerRowDxfId="53"/>
    <tableColumn id="3" name="Columna3" headerRowDxfId="52"/>
    <tableColumn id="4" name="Columna4" headerRowDxfId="51"/>
    <tableColumn id="5" name="Columna5" headerRowDxfId="50"/>
    <tableColumn id="6" name="Columna6" headerRowDxfId="49"/>
    <tableColumn id="7" name="Columna7" headerRowDxfId="48"/>
    <tableColumn id="8" name="Columna8" headerRowDxfId="47"/>
    <tableColumn id="9" name="Columna9" headerRowDxfId="46"/>
    <tableColumn id="10" name="Columna10" headerRowDxfId="45"/>
    <tableColumn id="11" name="Columna11" headerRowDxfId="44"/>
    <tableColumn id="12" name="Columna12" headerRowDxfId="43"/>
    <tableColumn id="13" name="Columna13" headerRowDxfId="42"/>
    <tableColumn id="14" name="Columna14" headerRowDxfId="41"/>
    <tableColumn id="15" name="Columna15" headerRowDxfId="40"/>
    <tableColumn id="16" name="Columna16" headerRowDxfId="39"/>
    <tableColumn id="17" name="Columna17" headerRowDxfId="38" dataDxfId="37"/>
    <tableColumn id="18" name="Columna18" headerRowDxfId="36" dataDxfId="35"/>
    <tableColumn id="19" name="Columna19" headerRowDxfId="34" dataDxfId="33"/>
    <tableColumn id="20" name="Columna20" headerRowDxfId="32" dataDxfId="31"/>
    <tableColumn id="21" name="Columna21" headerRowDxfId="30" dataDxfId="29"/>
    <tableColumn id="22" name="Columna22" headerRowDxfId="28" dataDxfId="27"/>
    <tableColumn id="23" name="Columna23" headerRowDxfId="26" dataDxfId="25"/>
    <tableColumn id="24" name="Columna24" headerRowDxfId="24" dataDxfId="23"/>
    <tableColumn id="25" name="Columna25" headerRowDxfId="22" dataDxfId="21"/>
    <tableColumn id="26" name="Columna26" headerRowDxfId="20" dataDxfId="19"/>
    <tableColumn id="27" name="Columna27" headerRowDxfId="18" dataDxfId="17"/>
    <tableColumn id="28" name="Columna28" headerRowDxfId="16" dataDxfId="15"/>
    <tableColumn id="29" name="Columna29" headerRowDxfId="14" dataDxfId="13"/>
    <tableColumn id="30" name="Columna30" headerRowDxfId="12" dataDxfId="11"/>
    <tableColumn id="31" name="Columna31" headerRowDxfId="10" dataDxfId="9"/>
    <tableColumn id="32" name="Columna32" headerRowDxfId="8" dataDxfId="7"/>
    <tableColumn id="33" name="Columna33" headerRowDxfId="6" dataDxfId="5"/>
    <tableColumn id="34" name="Columna34" headerRowDxfId="4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5:C22" totalsRowShown="0">
  <autoFilter ref="A15:C22"/>
  <tableColumns count="3">
    <tableColumn id="1" name="Criterios" dataDxfId="2"/>
    <tableColumn id="2" name="SI" dataDxfId="1">
      <calculatedColumnFormula>COUNTIF('codigo azul'!C7:AI7,"si")</calculatedColumnFormula>
    </tableColumn>
    <tableColumn id="3" name="NO" dataDxfId="0">
      <calculatedColumnFormula>COUNTIF('codigo azul'!C7:AI7,"no")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B7:C8" totalsRowShown="0">
  <autoFilter ref="B7:C8"/>
  <tableColumns count="2">
    <tableColumn id="1" name="Aprobados">
      <calculatedColumnFormula>COUNTIF('codigo azul'!C12:AI12,"Aprobado")</calculatedColumnFormula>
    </tableColumn>
    <tableColumn id="2" name="Reprobados">
      <calculatedColumnFormula>COUNTIF('codigo azul'!C12:AI12,"Reprobado")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"/>
  <sheetViews>
    <sheetView tabSelected="1" zoomScale="60" zoomScaleNormal="60" workbookViewId="0">
      <selection activeCell="D10" sqref="D10"/>
    </sheetView>
  </sheetViews>
  <sheetFormatPr baseColWidth="10" defaultRowHeight="15" x14ac:dyDescent="0.25"/>
  <cols>
    <col min="2" max="2" width="43.5703125" customWidth="1"/>
    <col min="3" max="3" width="22" customWidth="1"/>
    <col min="4" max="4" width="18.28515625" customWidth="1"/>
    <col min="5" max="5" width="15.5703125" customWidth="1"/>
    <col min="6" max="6" width="14.140625" customWidth="1"/>
    <col min="7" max="7" width="14.42578125" customWidth="1"/>
    <col min="8" max="8" width="15.140625" customWidth="1"/>
    <col min="9" max="9" width="15.28515625" customWidth="1"/>
    <col min="10" max="10" width="16.28515625" customWidth="1"/>
    <col min="11" max="11" width="14.85546875" customWidth="1"/>
    <col min="12" max="12" width="15.28515625" customWidth="1"/>
    <col min="13" max="13" width="15.85546875" customWidth="1"/>
    <col min="14" max="14" width="20.28515625" customWidth="1"/>
    <col min="15" max="15" width="21.85546875" customWidth="1"/>
    <col min="16" max="16" width="17.42578125" customWidth="1"/>
    <col min="17" max="17" width="17" customWidth="1"/>
    <col min="18" max="18" width="18.140625" customWidth="1"/>
    <col min="19" max="19" width="19.42578125" customWidth="1"/>
    <col min="20" max="20" width="22.140625" customWidth="1"/>
    <col min="21" max="21" width="20" customWidth="1"/>
    <col min="22" max="22" width="20.140625" customWidth="1"/>
    <col min="23" max="23" width="21.140625" customWidth="1"/>
    <col min="24" max="24" width="22.7109375" customWidth="1"/>
    <col min="25" max="25" width="23.42578125" customWidth="1"/>
    <col min="26" max="26" width="20.5703125" customWidth="1"/>
    <col min="27" max="27" width="20.85546875" customWidth="1"/>
    <col min="28" max="29" width="20.7109375" customWidth="1"/>
    <col min="30" max="31" width="21.5703125" customWidth="1"/>
    <col min="32" max="32" width="18.140625" customWidth="1"/>
    <col min="33" max="33" width="18.7109375" customWidth="1"/>
    <col min="34" max="34" width="16" customWidth="1"/>
    <col min="35" max="35" width="14.28515625" customWidth="1"/>
  </cols>
  <sheetData>
    <row r="1" spans="1:35" x14ac:dyDescent="0.25">
      <c r="B1" s="26" t="s">
        <v>24</v>
      </c>
    </row>
    <row r="2" spans="1:35" ht="15.75" thickBot="1" x14ac:dyDescent="0.3">
      <c r="B2" s="27" t="s">
        <v>25</v>
      </c>
    </row>
    <row r="3" spans="1:35" ht="22.5" customHeight="1" thickTop="1" thickBot="1" x14ac:dyDescent="0.3">
      <c r="B3" s="16" t="s">
        <v>12</v>
      </c>
      <c r="C3" s="33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28"/>
      <c r="S3" s="9"/>
      <c r="T3" s="9"/>
      <c r="U3" s="9"/>
      <c r="V3" s="9"/>
      <c r="W3" s="10"/>
      <c r="X3" s="9"/>
      <c r="Y3" s="9"/>
      <c r="Z3" s="11"/>
      <c r="AA3" s="12"/>
      <c r="AB3" s="12"/>
      <c r="AC3" s="12"/>
      <c r="AD3" s="12"/>
      <c r="AE3" s="9"/>
      <c r="AF3" s="12"/>
      <c r="AG3" s="9"/>
      <c r="AH3" s="11"/>
      <c r="AI3" s="9"/>
    </row>
    <row r="4" spans="1:35" ht="20.25" customHeight="1" thickBot="1" x14ac:dyDescent="0.3">
      <c r="B4" s="19" t="s">
        <v>13</v>
      </c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7"/>
      <c r="R4" s="29"/>
      <c r="S4" s="20"/>
      <c r="T4" s="20"/>
      <c r="U4" s="20"/>
      <c r="V4" s="21"/>
      <c r="W4" s="22"/>
      <c r="X4" s="22"/>
      <c r="Y4" s="18"/>
      <c r="Z4" s="22"/>
      <c r="AA4" s="22"/>
      <c r="AB4" s="22"/>
      <c r="AC4" s="23"/>
      <c r="AD4" s="23"/>
      <c r="AE4" s="23"/>
      <c r="AF4" s="18"/>
      <c r="AG4" s="20"/>
      <c r="AH4" s="18"/>
      <c r="AI4" s="20"/>
    </row>
    <row r="5" spans="1:35" ht="20.25" customHeight="1" thickTop="1" thickBot="1" x14ac:dyDescent="0.3">
      <c r="B5" s="16" t="s">
        <v>20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30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</row>
    <row r="6" spans="1:35" ht="16.5" thickBot="1" x14ac:dyDescent="0.3">
      <c r="B6" s="17" t="s">
        <v>16</v>
      </c>
      <c r="C6" s="38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ht="27" customHeight="1" thickBot="1" x14ac:dyDescent="0.3">
      <c r="A7" t="s">
        <v>7</v>
      </c>
      <c r="B7" s="15" t="s">
        <v>26</v>
      </c>
      <c r="C7" s="40"/>
      <c r="D7" s="41"/>
      <c r="E7" s="41"/>
      <c r="F7" s="41"/>
      <c r="G7" s="41"/>
      <c r="H7" s="42"/>
      <c r="I7" s="42"/>
      <c r="J7" s="42"/>
      <c r="K7" s="42"/>
      <c r="L7" s="42"/>
      <c r="M7" s="42"/>
      <c r="N7" s="42"/>
      <c r="O7" s="42"/>
      <c r="P7" s="42"/>
      <c r="Q7" s="42"/>
      <c r="R7" s="31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4"/>
    </row>
    <row r="8" spans="1:35" ht="54" customHeight="1" thickBot="1" x14ac:dyDescent="0.3">
      <c r="A8" t="s">
        <v>8</v>
      </c>
      <c r="B8" s="15" t="s">
        <v>27</v>
      </c>
      <c r="C8" s="40"/>
      <c r="D8" s="41"/>
      <c r="E8" s="41"/>
      <c r="F8" s="41"/>
      <c r="G8" s="41"/>
      <c r="H8" s="42"/>
      <c r="I8" s="42"/>
      <c r="J8" s="42"/>
      <c r="K8" s="42"/>
      <c r="L8" s="42"/>
      <c r="M8" s="42"/>
      <c r="N8" s="42"/>
      <c r="O8" s="42"/>
      <c r="P8" s="42"/>
      <c r="Q8" s="42"/>
      <c r="R8" s="31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4"/>
    </row>
    <row r="9" spans="1:35" ht="47.25" customHeight="1" thickBot="1" x14ac:dyDescent="0.3">
      <c r="A9" t="s">
        <v>9</v>
      </c>
      <c r="B9" s="15" t="s">
        <v>28</v>
      </c>
      <c r="C9" s="40"/>
      <c r="D9" s="41"/>
      <c r="E9" s="41"/>
      <c r="F9" s="41"/>
      <c r="G9" s="41"/>
      <c r="H9" s="42"/>
      <c r="I9" s="42"/>
      <c r="J9" s="42"/>
      <c r="K9" s="42"/>
      <c r="L9" s="42"/>
      <c r="M9" s="42"/>
      <c r="N9" s="42"/>
      <c r="O9" s="42"/>
      <c r="P9" s="42"/>
      <c r="Q9" s="42"/>
      <c r="R9" s="31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4"/>
    </row>
    <row r="10" spans="1:35" ht="37.5" customHeight="1" thickBot="1" x14ac:dyDescent="0.3">
      <c r="A10" t="s">
        <v>10</v>
      </c>
      <c r="B10" s="15" t="s">
        <v>29</v>
      </c>
      <c r="C10" s="40"/>
      <c r="D10" s="41"/>
      <c r="E10" s="41"/>
      <c r="F10" s="41"/>
      <c r="G10" s="41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31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4"/>
    </row>
    <row r="11" spans="1:35" ht="33" customHeight="1" thickBot="1" x14ac:dyDescent="0.3">
      <c r="A11" t="s">
        <v>11</v>
      </c>
      <c r="B11" s="15" t="s">
        <v>30</v>
      </c>
      <c r="C11" s="40"/>
      <c r="D11" s="41"/>
      <c r="E11" s="41"/>
      <c r="F11" s="41"/>
      <c r="G11" s="41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31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4"/>
    </row>
    <row r="12" spans="1:35" ht="21" customHeight="1" x14ac:dyDescent="0.25">
      <c r="B12" s="25" t="s">
        <v>21</v>
      </c>
      <c r="C12" s="8" t="str">
        <f>IF(Hoja1!B4+Hoja1!B5&lt;5," ",IF(Hoja1!B4=5,"Aprobado","Reprobado"))</f>
        <v xml:space="preserve"> </v>
      </c>
      <c r="D12" s="8" t="str">
        <f>IF(Hoja1!C4+Hoja1!C5&lt;5," ",IF(Hoja1!C4=5,"Aprobado","Reprobado"))</f>
        <v xml:space="preserve"> </v>
      </c>
      <c r="E12" s="8" t="str">
        <f>IF(Hoja1!D4+Hoja1!D5&lt;5," ",IF(Hoja1!D4=5,"Aprobado","Reprobado"))</f>
        <v xml:space="preserve"> </v>
      </c>
      <c r="F12" s="8" t="str">
        <f>IF(Hoja1!E4+Hoja1!E5&lt;5," ",IF(Hoja1!E4=5,"Aprobado","Reprobado"))</f>
        <v xml:space="preserve"> </v>
      </c>
      <c r="G12" s="8" t="str">
        <f>IF(Hoja1!F4+Hoja1!F5&lt;5," ",IF(Hoja1!F4=5,"Aprobado","Reprobado"))</f>
        <v xml:space="preserve"> </v>
      </c>
      <c r="H12" s="8" t="str">
        <f>IF(Hoja1!G4+Hoja1!G5&lt;5," ",IF(Hoja1!G4=5,"Aprobado","Reprobado"))</f>
        <v xml:space="preserve"> </v>
      </c>
      <c r="I12" s="8" t="str">
        <f>IF(Hoja1!H4+Hoja1!H5&lt;5," ",IF(Hoja1!H4=5,"Aprobado","Reprobado"))</f>
        <v xml:space="preserve"> </v>
      </c>
      <c r="J12" s="8" t="str">
        <f>IF(Hoja1!I4+Hoja1!I5&lt;5," ",IF(Hoja1!I4=5,"Aprobado","Reprobado"))</f>
        <v xml:space="preserve"> </v>
      </c>
      <c r="K12" s="8" t="str">
        <f>IF(Hoja1!J4+Hoja1!J5&lt;5," ",IF(Hoja1!J4=5,"Aprobado","Reprobado"))</f>
        <v xml:space="preserve"> </v>
      </c>
      <c r="L12" s="8" t="str">
        <f>IF(Hoja1!K4+Hoja1!K5&lt;5," ",IF(Hoja1!K4=5,"Aprobado","Reprobado"))</f>
        <v xml:space="preserve"> </v>
      </c>
      <c r="M12" s="8" t="str">
        <f>IF(Hoja1!L4+Hoja1!L5&lt;5," ",IF(Hoja1!L4=5,"Aprobado","Reprobado"))</f>
        <v xml:space="preserve"> </v>
      </c>
      <c r="N12" s="8" t="str">
        <f>IF(Hoja1!M4+Hoja1!M5&lt;5," ",IF(Hoja1!M4=5,"Aprobado","Reprobado"))</f>
        <v xml:space="preserve"> </v>
      </c>
      <c r="O12" s="8" t="str">
        <f>IF(Hoja1!N4+Hoja1!N5&lt;5," ",IF(Hoja1!N4=5,"Aprobado","Reprobado"))</f>
        <v xml:space="preserve"> </v>
      </c>
      <c r="P12" s="8" t="str">
        <f>IF(Hoja1!O4+Hoja1!O5&lt;5," ",IF(Hoja1!O4=5,"Aprobado","Reprobado"))</f>
        <v xml:space="preserve"> </v>
      </c>
      <c r="Q12" s="8" t="str">
        <f>IF(Hoja1!P4+Hoja1!P5&lt;5," ",IF(Hoja1!P4=5,"Aprobado","Reprobado"))</f>
        <v xml:space="preserve"> </v>
      </c>
      <c r="R12" s="32" t="str">
        <f>IF(Hoja1!Q4+Hoja1!Q5&lt;7," ",IF(Hoja1!Q4=7,"Aprobado","Reprobado"))</f>
        <v xml:space="preserve"> </v>
      </c>
      <c r="S12" s="7" t="str">
        <f>IF(Hoja1!R4+Hoja1!R5&lt;7," ",IF(Hoja1!R4=7,"Aprobado","Reprobado"))</f>
        <v xml:space="preserve"> </v>
      </c>
      <c r="T12" s="7" t="str">
        <f>IF(Hoja1!S4+Hoja1!S5&lt;7," ",IF(Hoja1!S4=7,"Aprobado","Reprobado"))</f>
        <v xml:space="preserve"> </v>
      </c>
      <c r="U12" s="7" t="str">
        <f>IF(Hoja1!T4+Hoja1!T5&lt;7," ",IF(Hoja1!T4=7,"Aprobado","Reprobado"))</f>
        <v xml:space="preserve"> </v>
      </c>
      <c r="V12" s="7" t="str">
        <f>IF(Hoja1!U4+Hoja1!U5&lt;7," ",IF(Hoja1!U4=7,"Aprobado","Reprobado"))</f>
        <v xml:space="preserve"> </v>
      </c>
      <c r="W12" s="7" t="str">
        <f>IF(Hoja1!V4+Hoja1!V5&lt;7," ",IF(Hoja1!V4=7,"Aprobado","Reprobado"))</f>
        <v xml:space="preserve"> </v>
      </c>
      <c r="X12" s="7" t="str">
        <f>IF(Hoja1!W4+Hoja1!W5&lt;7," ",IF(Hoja1!W4=7,"Aprobado","Reprobado"))</f>
        <v xml:space="preserve"> </v>
      </c>
      <c r="Y12" s="7" t="str">
        <f>IF(Hoja1!X4+Hoja1!X5&lt;7," ",IF(Hoja1!X4=7,"Aprobado","Reprobado"))</f>
        <v xml:space="preserve"> </v>
      </c>
      <c r="Z12" s="7" t="str">
        <f>IF(Hoja1!Y4+Hoja1!Y5&lt;7," ",IF(Hoja1!Y4=7,"Aprobado","Reprobado"))</f>
        <v xml:space="preserve"> </v>
      </c>
      <c r="AA12" s="7" t="str">
        <f>IF(Hoja1!Z4+Hoja1!Z5&lt;7," ",IF(Hoja1!Z4=7,"Aprobado","Reprobado"))</f>
        <v xml:space="preserve"> </v>
      </c>
      <c r="AB12" s="7" t="str">
        <f>IF(Hoja1!AA4+Hoja1!AA5&lt;7," ",IF(Hoja1!AA4=7,"Aprobado","Reprobado"))</f>
        <v xml:space="preserve"> </v>
      </c>
      <c r="AC12" s="7" t="str">
        <f>IF(Hoja1!AB4+Hoja1!AB5&lt;7," ",IF(Hoja1!AB4=7,"Aprobado","Reprobado"))</f>
        <v xml:space="preserve"> </v>
      </c>
      <c r="AD12" s="7" t="str">
        <f>IF(Hoja1!AC4+Hoja1!AC5&lt;7," ",IF(Hoja1!AC4=7,"Aprobado","Reprobado"))</f>
        <v xml:space="preserve"> </v>
      </c>
      <c r="AE12" s="7" t="str">
        <f>IF(Hoja1!AD4+Hoja1!AD5&lt;7," ",IF(Hoja1!AD4=7,"Aprobado","Reprobado"))</f>
        <v xml:space="preserve"> </v>
      </c>
      <c r="AF12" s="7" t="str">
        <f>IF(Hoja1!AE4+Hoja1!AE5&lt;7," ",IF(Hoja1!AE4=7,"Aprobado","Reprobado"))</f>
        <v xml:space="preserve"> </v>
      </c>
      <c r="AG12" s="7" t="str">
        <f>IF(Hoja1!AF4+Hoja1!AF5&lt;7," ",IF(Hoja1!AF4=7,"Aprobado","Reprobado"))</f>
        <v xml:space="preserve"> </v>
      </c>
      <c r="AH12" s="7" t="str">
        <f>IF(Hoja1!AG4+Hoja1!AG5&lt;7," ",IF(Hoja1!AG4=7,"Aprobado","Reprobado"))</f>
        <v xml:space="preserve"> </v>
      </c>
      <c r="AI12" s="7" t="str">
        <f>IF(Hoja1!AH4+Hoja1!AH5&lt;7," ",IF(Hoja1!AH4=7,"Aprobado","Reprobado"))</f>
        <v xml:space="preserve"> </v>
      </c>
    </row>
    <row r="13" spans="1:35" x14ac:dyDescent="0.25">
      <c r="B13" s="27" t="s">
        <v>22</v>
      </c>
    </row>
    <row r="14" spans="1:35" x14ac:dyDescent="0.25">
      <c r="B14" t="s">
        <v>23</v>
      </c>
    </row>
  </sheetData>
  <dataConsolidate/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B812374-2F9A-4927-858C-B76296C50A02}">
            <xm:f>NOT(ISERROR(SEARCH("Reprobado",C12)))</xm:f>
            <xm:f>"Reprobado"</xm:f>
            <x14:dxf>
              <font>
                <color theme="1"/>
              </font>
              <fill>
                <patternFill patternType="solid">
                  <fgColor theme="0"/>
                  <bgColor rgb="FFFF0000"/>
                </patternFill>
              </fill>
            </x14:dxf>
          </x14:cfRule>
          <x14:cfRule type="containsText" priority="2" operator="containsText" id="{BDCC5C7F-7D9E-4E52-8C53-8C1EC160505A}">
            <xm:f>NOT(ISERROR(SEARCH("Aprobado",C12)))</xm:f>
            <xm:f>"Aprobado"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C12:AI12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L26"/>
  <sheetViews>
    <sheetView zoomScaleNormal="100" workbookViewId="0">
      <selection activeCell="B4" sqref="B4"/>
    </sheetView>
  </sheetViews>
  <sheetFormatPr baseColWidth="10" defaultRowHeight="15" x14ac:dyDescent="0.25"/>
  <cols>
    <col min="1" max="1" width="25" customWidth="1"/>
    <col min="2" max="2" width="12.7109375" customWidth="1"/>
    <col min="3" max="3" width="13.7109375" customWidth="1"/>
  </cols>
  <sheetData>
    <row r="4" spans="1:38" x14ac:dyDescent="0.25">
      <c r="B4">
        <f>COUNTIF('codigo azul'!C7:C11,"si")</f>
        <v>0</v>
      </c>
      <c r="C4">
        <f>COUNTIF('codigo azul'!D7:D11,"si")</f>
        <v>0</v>
      </c>
      <c r="D4">
        <f>COUNTIF('codigo azul'!E7:E11,"si")</f>
        <v>0</v>
      </c>
      <c r="E4">
        <f>COUNTIF('codigo azul'!F7:F11,"si")</f>
        <v>0</v>
      </c>
      <c r="F4">
        <f>COUNTIF('codigo azul'!G7:G11,"si")</f>
        <v>0</v>
      </c>
      <c r="G4">
        <f>COUNTIF('codigo azul'!H7:H11,"si")</f>
        <v>0</v>
      </c>
      <c r="H4">
        <f>COUNTIF('codigo azul'!I7:I11,"si")</f>
        <v>0</v>
      </c>
      <c r="I4">
        <f>COUNTIF('codigo azul'!J7:J11,"si")</f>
        <v>0</v>
      </c>
      <c r="J4">
        <f>COUNTIF('codigo azul'!K7:K11,"si")</f>
        <v>0</v>
      </c>
      <c r="K4">
        <f>COUNTIF('codigo azul'!L7:L11,"si")</f>
        <v>0</v>
      </c>
      <c r="L4">
        <f>COUNTIF('codigo azul'!M7:M11,"si")</f>
        <v>0</v>
      </c>
      <c r="M4">
        <f>COUNTIF('codigo azul'!N7:N11,"si")</f>
        <v>0</v>
      </c>
      <c r="N4">
        <f>COUNTIF('codigo azul'!O7:O11,"si")</f>
        <v>0</v>
      </c>
      <c r="O4">
        <f>COUNTIF('codigo azul'!P7:P11,"si")</f>
        <v>0</v>
      </c>
      <c r="P4">
        <f>COUNTIF('codigo azul'!Q7:Q11,"si")</f>
        <v>0</v>
      </c>
      <c r="Q4">
        <f>COUNTIF('codigo azul'!R7:R11,"si")</f>
        <v>0</v>
      </c>
      <c r="R4">
        <f>COUNTIF('codigo azul'!S7:S11,"si")</f>
        <v>0</v>
      </c>
      <c r="S4">
        <f>COUNTIF('codigo azul'!T7:T11,"si")</f>
        <v>0</v>
      </c>
      <c r="T4">
        <f>COUNTIF('codigo azul'!U7:U11,"si")</f>
        <v>0</v>
      </c>
      <c r="U4">
        <f>COUNTIF('codigo azul'!V7:V11,"si")</f>
        <v>0</v>
      </c>
      <c r="V4">
        <f>COUNTIF('codigo azul'!W7:W11,"si")</f>
        <v>0</v>
      </c>
      <c r="W4">
        <f>COUNTIF('codigo azul'!X7:X11,"si")</f>
        <v>0</v>
      </c>
      <c r="X4">
        <f>COUNTIF('codigo azul'!Y7:Y11,"si")</f>
        <v>0</v>
      </c>
      <c r="Y4">
        <f>COUNTIF('codigo azul'!Z7:Z11,"si")</f>
        <v>0</v>
      </c>
      <c r="Z4">
        <f>COUNTIF('codigo azul'!AA7:AA11,"si")</f>
        <v>0</v>
      </c>
      <c r="AA4">
        <f>COUNTIF('codigo azul'!AB7:AB11,"si")</f>
        <v>0</v>
      </c>
      <c r="AB4">
        <f>COUNTIF('codigo azul'!AC7:AC11,"si")</f>
        <v>0</v>
      </c>
      <c r="AC4">
        <f>COUNTIF('codigo azul'!AD7:AD11,"si")</f>
        <v>0</v>
      </c>
      <c r="AD4">
        <f>COUNTIF('codigo azul'!AE7:AE11,"si")</f>
        <v>0</v>
      </c>
      <c r="AE4">
        <f>COUNTIF('codigo azul'!AF7:AF11,"si")</f>
        <v>0</v>
      </c>
      <c r="AF4">
        <f>COUNTIF('codigo azul'!AG7:AG11,"si")</f>
        <v>0</v>
      </c>
      <c r="AG4">
        <f>COUNTIF('codigo azul'!AH7:AH11,"si")</f>
        <v>0</v>
      </c>
      <c r="AH4">
        <f>COUNTIF('codigo azul'!AI7:AI11,"si")</f>
        <v>0</v>
      </c>
      <c r="AI4">
        <f>COUNTIF('codigo azul'!AJ7:AJ11,"si")</f>
        <v>0</v>
      </c>
      <c r="AJ4">
        <f>COUNTIF('codigo azul'!AK7:AK11,"si")</f>
        <v>0</v>
      </c>
      <c r="AK4">
        <f>COUNTIF('codigo azul'!AL7:AL11,"si")</f>
        <v>0</v>
      </c>
      <c r="AL4">
        <f>COUNTIF('codigo azul'!AM7:AM11,"si")</f>
        <v>0</v>
      </c>
    </row>
    <row r="5" spans="1:38" x14ac:dyDescent="0.25">
      <c r="B5">
        <f>COUNTIF('codigo azul'!C7:C11,"no")</f>
        <v>0</v>
      </c>
      <c r="C5">
        <f>COUNTIF('codigo azul'!D7:D11,"no")</f>
        <v>0</v>
      </c>
      <c r="D5">
        <f>COUNTIF('codigo azul'!E7:E11,"no")</f>
        <v>0</v>
      </c>
      <c r="E5">
        <f>COUNTIF('codigo azul'!F7:F11,"no")</f>
        <v>0</v>
      </c>
      <c r="F5">
        <f>COUNTIF('codigo azul'!G7:G11,"no")</f>
        <v>0</v>
      </c>
      <c r="G5">
        <f>COUNTIF('codigo azul'!H7:H11,"no")</f>
        <v>0</v>
      </c>
      <c r="H5">
        <f>COUNTIF('codigo azul'!I7:I11,"no")</f>
        <v>0</v>
      </c>
      <c r="I5">
        <f>COUNTIF('codigo azul'!J7:J11,"no")</f>
        <v>0</v>
      </c>
      <c r="J5">
        <f>COUNTIF('codigo azul'!K7:K11,"no")</f>
        <v>0</v>
      </c>
      <c r="K5">
        <f>COUNTIF('codigo azul'!L7:L11,"no")</f>
        <v>0</v>
      </c>
      <c r="L5">
        <f>COUNTIF('codigo azul'!M7:M11,"no")</f>
        <v>0</v>
      </c>
      <c r="M5">
        <f>COUNTIF('codigo azul'!N7:N11,"no")</f>
        <v>0</v>
      </c>
      <c r="N5">
        <f>COUNTIF('codigo azul'!O7:O11,"no")</f>
        <v>0</v>
      </c>
      <c r="O5">
        <f>COUNTIF('codigo azul'!P7:P11,"no")</f>
        <v>0</v>
      </c>
      <c r="P5">
        <f>COUNTIF('codigo azul'!Q7:Q11,"no")</f>
        <v>0</v>
      </c>
      <c r="Q5">
        <f>COUNTIF('codigo azul'!R7:R11,"no")</f>
        <v>0</v>
      </c>
      <c r="R5">
        <f>COUNTIF('codigo azul'!S7:S11,"no")</f>
        <v>0</v>
      </c>
      <c r="S5">
        <f>COUNTIF('codigo azul'!T7:T11,"no")</f>
        <v>0</v>
      </c>
      <c r="T5">
        <f>COUNTIF('codigo azul'!U7:U11,"no")</f>
        <v>0</v>
      </c>
      <c r="U5">
        <f>COUNTIF('codigo azul'!V7:V11,"no")</f>
        <v>0</v>
      </c>
      <c r="V5">
        <f>COUNTIF('codigo azul'!W7:W11,"no")</f>
        <v>0</v>
      </c>
      <c r="W5">
        <f>COUNTIF('codigo azul'!X7:X11,"no")</f>
        <v>0</v>
      </c>
      <c r="X5">
        <f>COUNTIF('codigo azul'!Y7:Y11,"no")</f>
        <v>0</v>
      </c>
      <c r="Y5">
        <f>COUNTIF('codigo azul'!Z7:Z11,"no")</f>
        <v>0</v>
      </c>
      <c r="Z5">
        <f>COUNTIF('codigo azul'!AA7:AA11,"no")</f>
        <v>0</v>
      </c>
      <c r="AA5">
        <f>COUNTIF('codigo azul'!AB7:AB11,"no")</f>
        <v>0</v>
      </c>
      <c r="AB5">
        <f>COUNTIF('codigo azul'!AC7:AC11,"no")</f>
        <v>0</v>
      </c>
      <c r="AC5">
        <f>COUNTIF('codigo azul'!AD7:AD11,"no")</f>
        <v>0</v>
      </c>
      <c r="AD5">
        <f>COUNTIF('codigo azul'!AE7:AE11,"no")</f>
        <v>0</v>
      </c>
      <c r="AE5">
        <f>COUNTIF('codigo azul'!AF7:AF11,"no")</f>
        <v>0</v>
      </c>
      <c r="AF5">
        <f>COUNTIF('codigo azul'!AG7:AG11,"no")</f>
        <v>0</v>
      </c>
      <c r="AG5">
        <f>COUNTIF('codigo azul'!AH7:AH11,"no")</f>
        <v>0</v>
      </c>
      <c r="AH5">
        <f>COUNTIF('codigo azul'!AI7:AI11,"no")</f>
        <v>0</v>
      </c>
      <c r="AI5">
        <f>COUNTIF('codigo azul'!AJ7:AJ11,"no")</f>
        <v>0</v>
      </c>
      <c r="AJ5">
        <f>COUNTIF('codigo azul'!AK7:AK11,"no")</f>
        <v>0</v>
      </c>
      <c r="AK5">
        <f>COUNTIF('codigo azul'!AL7:AL11,"no")</f>
        <v>0</v>
      </c>
      <c r="AL5">
        <f>COUNTIF('codigo azul'!AM7:AM11,"no")</f>
        <v>0</v>
      </c>
    </row>
    <row r="7" spans="1:38" x14ac:dyDescent="0.25">
      <c r="B7" t="s">
        <v>14</v>
      </c>
      <c r="C7" t="s">
        <v>15</v>
      </c>
    </row>
    <row r="8" spans="1:38" x14ac:dyDescent="0.25">
      <c r="B8">
        <f>COUNTIF('codigo azul'!C12:AI12,"Aprobado")</f>
        <v>0</v>
      </c>
      <c r="C8">
        <f>COUNTIF('codigo azul'!C12:AI12,"Reprobado")</f>
        <v>0</v>
      </c>
    </row>
    <row r="15" spans="1:38" x14ac:dyDescent="0.25">
      <c r="A15" s="3" t="s">
        <v>17</v>
      </c>
      <c r="B15" t="s">
        <v>18</v>
      </c>
      <c r="C15" t="s">
        <v>19</v>
      </c>
    </row>
    <row r="16" spans="1:38" ht="30" x14ac:dyDescent="0.25">
      <c r="A16" s="1" t="s">
        <v>0</v>
      </c>
      <c r="B16" s="2">
        <f>COUNTIF('codigo azul'!C7:AI7,"si")</f>
        <v>0</v>
      </c>
      <c r="C16" s="2">
        <f>COUNTIF('codigo azul'!C7:AI7,"no")</f>
        <v>0</v>
      </c>
    </row>
    <row r="17" spans="1:3" ht="30" x14ac:dyDescent="0.25">
      <c r="A17" s="1" t="s">
        <v>1</v>
      </c>
      <c r="B17" s="2">
        <f>COUNTIF('codigo azul'!C8:AI8,"si")</f>
        <v>0</v>
      </c>
      <c r="C17">
        <f>COUNTIF('codigo azul'!C8:AI8,"no")</f>
        <v>0</v>
      </c>
    </row>
    <row r="18" spans="1:3" ht="30" x14ac:dyDescent="0.25">
      <c r="A18" s="1" t="s">
        <v>2</v>
      </c>
      <c r="B18" s="2">
        <f>COUNTIF('codigo azul'!C9:AI9,"si")</f>
        <v>0</v>
      </c>
      <c r="C18">
        <f>COUNTIF('codigo azul'!C9:AI9,"no")</f>
        <v>0</v>
      </c>
    </row>
    <row r="19" spans="1:3" ht="45" x14ac:dyDescent="0.25">
      <c r="A19" s="1" t="s">
        <v>3</v>
      </c>
      <c r="B19" s="2">
        <f>COUNTIF('codigo azul'!C10:AI10,"si")</f>
        <v>0</v>
      </c>
      <c r="C19">
        <f>COUNTIF('codigo azul'!C10:AI10,"no")</f>
        <v>0</v>
      </c>
    </row>
    <row r="20" spans="1:3" ht="45" x14ac:dyDescent="0.25">
      <c r="A20" s="1" t="s">
        <v>4</v>
      </c>
      <c r="B20" s="2">
        <f>COUNTIF('codigo azul'!C11:AI11,"si")</f>
        <v>0</v>
      </c>
      <c r="C20">
        <f>COUNTIF('codigo azul'!C11:AI11,"no")</f>
        <v>0</v>
      </c>
    </row>
    <row r="21" spans="1:3" ht="30" x14ac:dyDescent="0.25">
      <c r="A21" s="1" t="s">
        <v>5</v>
      </c>
      <c r="B21" s="2" t="e">
        <f>COUNTIF('codigo azul'!#REF!,"si")</f>
        <v>#REF!</v>
      </c>
      <c r="C21" t="e">
        <f>COUNTIF('codigo azul'!#REF!,"no")</f>
        <v>#REF!</v>
      </c>
    </row>
    <row r="22" spans="1:3" ht="30" x14ac:dyDescent="0.25">
      <c r="A22" s="1" t="s">
        <v>6</v>
      </c>
      <c r="B22" s="4" t="e">
        <f>COUNTIF('codigo azul'!#REF!,"si")</f>
        <v>#REF!</v>
      </c>
      <c r="C22" t="e">
        <f>COUNTIF('codigo azul'!#REF!,"no")</f>
        <v>#REF!</v>
      </c>
    </row>
    <row r="23" spans="1:3" x14ac:dyDescent="0.25">
      <c r="B23" s="5"/>
    </row>
    <row r="24" spans="1:3" x14ac:dyDescent="0.25">
      <c r="B24" s="5"/>
    </row>
    <row r="25" spans="1:3" x14ac:dyDescent="0.25">
      <c r="B25" s="5"/>
    </row>
    <row r="26" spans="1:3" x14ac:dyDescent="0.25">
      <c r="B26" s="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codigo azul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S.Generales</dc:creator>
  <cp:lastModifiedBy>cristian cárdenas</cp:lastModifiedBy>
  <dcterms:created xsi:type="dcterms:W3CDTF">2021-09-07T17:52:53Z</dcterms:created>
  <dcterms:modified xsi:type="dcterms:W3CDTF">2022-09-13T15:13:16Z</dcterms:modified>
</cp:coreProperties>
</file>