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UNCIONARIO\Desktop\CALIDAD\2Características Obligatorias\CAL 1.1\PROGRAMA DE CALIDAD ANUAL\5ENERO A DIC 2026\"/>
    </mc:Choice>
  </mc:AlternateContent>
  <xr:revisionPtr revIDLastSave="0" documentId="13_ncr:1_{75EA5BC6-1742-41D7-8F3F-960952EC058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pervisables" sheetId="1" r:id="rId1"/>
    <sheet name="Constatabl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2" i="2" l="1"/>
  <c r="N32" i="2"/>
  <c r="P32" i="2" s="1"/>
  <c r="L32" i="2"/>
  <c r="K32" i="2"/>
  <c r="M32" i="2" s="1"/>
  <c r="I32" i="2"/>
  <c r="H32" i="2"/>
  <c r="F32" i="2"/>
  <c r="E32" i="2"/>
  <c r="C32" i="2"/>
  <c r="B32" i="2"/>
  <c r="P31" i="2"/>
  <c r="M31" i="2"/>
  <c r="J31" i="2"/>
  <c r="G31" i="2"/>
  <c r="D31" i="2"/>
  <c r="P30" i="2"/>
  <c r="M30" i="2"/>
  <c r="J30" i="2"/>
  <c r="G30" i="2"/>
  <c r="D30" i="2"/>
  <c r="P29" i="2"/>
  <c r="M29" i="2"/>
  <c r="J29" i="2"/>
  <c r="G29" i="2"/>
  <c r="D29" i="2"/>
  <c r="P28" i="2"/>
  <c r="M28" i="2"/>
  <c r="J28" i="2"/>
  <c r="G28" i="2"/>
  <c r="D28" i="2"/>
  <c r="X21" i="2"/>
  <c r="W21" i="2"/>
  <c r="Y21" i="2" s="1"/>
  <c r="U21" i="2"/>
  <c r="T21" i="2"/>
  <c r="V21" i="2" s="1"/>
  <c r="R21" i="2"/>
  <c r="Q21" i="2"/>
  <c r="O21" i="2"/>
  <c r="N21" i="2"/>
  <c r="L21" i="2"/>
  <c r="K21" i="2"/>
  <c r="I21" i="2"/>
  <c r="H21" i="2"/>
  <c r="F21" i="2"/>
  <c r="E21" i="2"/>
  <c r="C21" i="2"/>
  <c r="B21" i="2"/>
  <c r="Y20" i="2"/>
  <c r="V20" i="2"/>
  <c r="S20" i="2"/>
  <c r="P20" i="2"/>
  <c r="M20" i="2"/>
  <c r="J20" i="2"/>
  <c r="G20" i="2"/>
  <c r="D20" i="2"/>
  <c r="Y19" i="2"/>
  <c r="V19" i="2"/>
  <c r="S19" i="2"/>
  <c r="P19" i="2"/>
  <c r="M19" i="2"/>
  <c r="J19" i="2"/>
  <c r="G19" i="2"/>
  <c r="D19" i="2"/>
  <c r="Y18" i="2"/>
  <c r="V18" i="2"/>
  <c r="S18" i="2"/>
  <c r="P18" i="2"/>
  <c r="M18" i="2"/>
  <c r="J18" i="2"/>
  <c r="G18" i="2"/>
  <c r="D18" i="2"/>
  <c r="Y17" i="2"/>
  <c r="V17" i="2"/>
  <c r="S17" i="2"/>
  <c r="P17" i="2"/>
  <c r="M17" i="2"/>
  <c r="J17" i="2"/>
  <c r="G17" i="2"/>
  <c r="D17" i="2"/>
  <c r="X10" i="2"/>
  <c r="W10" i="2"/>
  <c r="Y10" i="2" s="1"/>
  <c r="U10" i="2"/>
  <c r="T10" i="2"/>
  <c r="V10" i="2" s="1"/>
  <c r="Y9" i="2"/>
  <c r="V9" i="2"/>
  <c r="Y8" i="2"/>
  <c r="V8" i="2"/>
  <c r="Y7" i="2"/>
  <c r="V7" i="2"/>
  <c r="Y6" i="2"/>
  <c r="V6" i="2"/>
  <c r="R10" i="2"/>
  <c r="Q10" i="2"/>
  <c r="S9" i="2"/>
  <c r="S8" i="2"/>
  <c r="S7" i="2"/>
  <c r="S6" i="2"/>
  <c r="O10" i="2"/>
  <c r="N10" i="2"/>
  <c r="P9" i="2"/>
  <c r="P8" i="2"/>
  <c r="P7" i="2"/>
  <c r="P6" i="2"/>
  <c r="L10" i="2"/>
  <c r="K10" i="2"/>
  <c r="I10" i="2"/>
  <c r="H10" i="2"/>
  <c r="F10" i="2"/>
  <c r="E10" i="2"/>
  <c r="C10" i="2"/>
  <c r="B10" i="2"/>
  <c r="M9" i="2"/>
  <c r="J9" i="2"/>
  <c r="G9" i="2"/>
  <c r="D9" i="2"/>
  <c r="M8" i="2"/>
  <c r="J8" i="2"/>
  <c r="G8" i="2"/>
  <c r="D8" i="2"/>
  <c r="M7" i="2"/>
  <c r="J7" i="2"/>
  <c r="G7" i="2"/>
  <c r="D7" i="2"/>
  <c r="M6" i="2"/>
  <c r="J6" i="2"/>
  <c r="G6" i="2"/>
  <c r="D6" i="2"/>
  <c r="L43" i="1"/>
  <c r="M43" i="1" s="1"/>
  <c r="K43" i="1"/>
  <c r="I43" i="1"/>
  <c r="H43" i="1"/>
  <c r="F43" i="1"/>
  <c r="E43" i="1"/>
  <c r="C43" i="1"/>
  <c r="B43" i="1"/>
  <c r="M42" i="1"/>
  <c r="J42" i="1"/>
  <c r="G42" i="1"/>
  <c r="D42" i="1"/>
  <c r="M41" i="1"/>
  <c r="J41" i="1"/>
  <c r="G41" i="1"/>
  <c r="D41" i="1"/>
  <c r="M40" i="1"/>
  <c r="J40" i="1"/>
  <c r="G40" i="1"/>
  <c r="D40" i="1"/>
  <c r="M39" i="1"/>
  <c r="J39" i="1"/>
  <c r="G39" i="1"/>
  <c r="D39" i="1"/>
  <c r="M38" i="1"/>
  <c r="J38" i="1"/>
  <c r="G38" i="1"/>
  <c r="D38" i="1"/>
  <c r="E31" i="1"/>
  <c r="M29" i="1"/>
  <c r="J29" i="1"/>
  <c r="G29" i="1"/>
  <c r="D29" i="1"/>
  <c r="L31" i="1"/>
  <c r="K31" i="1"/>
  <c r="M31" i="1" s="1"/>
  <c r="I31" i="1"/>
  <c r="H31" i="1"/>
  <c r="F31" i="1"/>
  <c r="C31" i="1"/>
  <c r="B31" i="1"/>
  <c r="M30" i="1"/>
  <c r="J30" i="1"/>
  <c r="G30" i="1"/>
  <c r="D30" i="1"/>
  <c r="M28" i="1"/>
  <c r="J28" i="1"/>
  <c r="G28" i="1"/>
  <c r="D28" i="1"/>
  <c r="M27" i="1"/>
  <c r="J27" i="1"/>
  <c r="G27" i="1"/>
  <c r="D27" i="1"/>
  <c r="M26" i="1"/>
  <c r="J26" i="1"/>
  <c r="G26" i="1"/>
  <c r="D26" i="1"/>
  <c r="M25" i="1"/>
  <c r="J25" i="1"/>
  <c r="G25" i="1"/>
  <c r="D25" i="1"/>
  <c r="M18" i="1"/>
  <c r="L11" i="1"/>
  <c r="K11" i="1"/>
  <c r="M10" i="1"/>
  <c r="M9" i="1"/>
  <c r="M8" i="1"/>
  <c r="M7" i="1"/>
  <c r="M6" i="1"/>
  <c r="J18" i="1"/>
  <c r="G18" i="1"/>
  <c r="D18" i="1"/>
  <c r="I11" i="1"/>
  <c r="H11" i="1"/>
  <c r="J10" i="1"/>
  <c r="J9" i="1"/>
  <c r="J8" i="1"/>
  <c r="J7" i="1"/>
  <c r="J6" i="1"/>
  <c r="F11" i="1"/>
  <c r="E11" i="1"/>
  <c r="G10" i="1"/>
  <c r="G9" i="1"/>
  <c r="G8" i="1"/>
  <c r="G7" i="1"/>
  <c r="G6" i="1"/>
  <c r="C11" i="1"/>
  <c r="B11" i="1"/>
  <c r="D11" i="1" s="1"/>
  <c r="D7" i="1"/>
  <c r="D8" i="1"/>
  <c r="D9" i="1"/>
  <c r="D10" i="1"/>
  <c r="D6" i="1"/>
  <c r="J32" i="2" l="1"/>
  <c r="G32" i="2"/>
  <c r="D32" i="2"/>
  <c r="S21" i="2"/>
  <c r="P21" i="2"/>
  <c r="M21" i="2"/>
  <c r="J21" i="2"/>
  <c r="G21" i="2"/>
  <c r="D21" i="2"/>
  <c r="S10" i="2"/>
  <c r="P10" i="2"/>
  <c r="M10" i="2"/>
  <c r="J10" i="2"/>
  <c r="G10" i="2"/>
  <c r="D10" i="2"/>
  <c r="J43" i="1"/>
  <c r="G43" i="1"/>
  <c r="D43" i="1"/>
  <c r="M11" i="1"/>
  <c r="J31" i="1"/>
  <c r="G31" i="1"/>
  <c r="D31" i="1"/>
  <c r="G11" i="1"/>
  <c r="J11" i="1"/>
</calcChain>
</file>

<file path=xl/sharedStrings.xml><?xml version="1.0" encoding="utf-8"?>
<sst xmlns="http://schemas.openxmlformats.org/spreadsheetml/2006/main" count="207" uniqueCount="35">
  <si>
    <t>Característica</t>
  </si>
  <si>
    <t>GCL 1.3</t>
  </si>
  <si>
    <t>Temática</t>
  </si>
  <si>
    <t>Manejo curaciones avanzadas heridas</t>
  </si>
  <si>
    <t>Unidades verificadas</t>
  </si>
  <si>
    <t>SUR</t>
  </si>
  <si>
    <t>Posta Población</t>
  </si>
  <si>
    <t>Posta Los Cardos</t>
  </si>
  <si>
    <t>Posta Calleuque</t>
  </si>
  <si>
    <t>Pro. Enfermería (Curaciones)</t>
  </si>
  <si>
    <t>Num</t>
  </si>
  <si>
    <t>Den</t>
  </si>
  <si>
    <t>% cumplimiento</t>
  </si>
  <si>
    <t>Total general</t>
  </si>
  <si>
    <t>Fechas de corte</t>
  </si>
  <si>
    <t>Umbral cumplimiento</t>
  </si>
  <si>
    <t>Pauta de refrigeración de vacunas</t>
  </si>
  <si>
    <t>GCL 3.2</t>
  </si>
  <si>
    <t>Técnica lavado de manos clínico</t>
  </si>
  <si>
    <t>Dental</t>
  </si>
  <si>
    <t>Toma de muestras</t>
  </si>
  <si>
    <t>Postas</t>
  </si>
  <si>
    <t>Kine</t>
  </si>
  <si>
    <t>Otros (fuera de muestra principal)</t>
  </si>
  <si>
    <t>Pauta de aseo concurrente</t>
  </si>
  <si>
    <t>AOC 1.1</t>
  </si>
  <si>
    <t>Conocimiento de código azul</t>
  </si>
  <si>
    <t>Todos</t>
  </si>
  <si>
    <t>Toma muestra</t>
  </si>
  <si>
    <t>no</t>
  </si>
  <si>
    <t>INS 2.1</t>
  </si>
  <si>
    <t>Conocimiento plan de evacuación institucional</t>
  </si>
  <si>
    <t>RH 4.2</t>
  </si>
  <si>
    <t>Conocimiento de manejo ante accidentes cortopunzantes</t>
  </si>
  <si>
    <t>Otros (no muestra)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</si>
</sst>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1" xfId="0" applyFont="1" applyBorder="1"/>
    <xf numFmtId="17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9" fontId="0" fillId="2" borderId="1" xfId="0" applyNumberForma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9" fontId="1" fillId="3" borderId="0" xfId="0" applyNumberFormat="1" applyFont="1" applyFill="1" applyAlignment="1">
      <alignment horizontal="center"/>
    </xf>
    <xf numFmtId="9" fontId="0" fillId="4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workbookViewId="0">
      <selection sqref="A1:M11"/>
    </sheetView>
  </sheetViews>
  <sheetFormatPr baseColWidth="10" defaultColWidth="8.88671875" defaultRowHeight="14.4" x14ac:dyDescent="0.3"/>
  <cols>
    <col min="1" max="1" width="19.77734375" customWidth="1"/>
    <col min="4" max="4" width="14" customWidth="1"/>
    <col min="7" max="7" width="14.21875" customWidth="1"/>
    <col min="10" max="10" width="14.109375" customWidth="1"/>
    <col min="13" max="13" width="17.109375" customWidth="1"/>
  </cols>
  <sheetData>
    <row r="1" spans="1:13" x14ac:dyDescent="0.3">
      <c r="A1" s="1" t="s">
        <v>0</v>
      </c>
      <c r="B1" s="1" t="s">
        <v>1</v>
      </c>
    </row>
    <row r="2" spans="1:13" x14ac:dyDescent="0.3">
      <c r="A2" s="1" t="s">
        <v>2</v>
      </c>
      <c r="B2" s="1" t="s">
        <v>3</v>
      </c>
      <c r="C2" s="1"/>
      <c r="D2" s="1"/>
      <c r="E2" s="1"/>
    </row>
    <row r="3" spans="1:13" x14ac:dyDescent="0.3">
      <c r="A3" s="12" t="s">
        <v>15</v>
      </c>
      <c r="B3" s="13">
        <v>0.88</v>
      </c>
      <c r="C3" s="1"/>
      <c r="D3" s="1"/>
      <c r="E3" s="1"/>
    </row>
    <row r="4" spans="1:13" x14ac:dyDescent="0.3">
      <c r="A4" s="4" t="s">
        <v>14</v>
      </c>
      <c r="B4" s="5">
        <v>45748</v>
      </c>
      <c r="C4" s="6"/>
      <c r="D4" s="6"/>
      <c r="E4" s="5">
        <v>45931</v>
      </c>
      <c r="F4" s="6"/>
      <c r="G4" s="6"/>
      <c r="H4" s="5">
        <v>46113</v>
      </c>
      <c r="I4" s="6"/>
      <c r="J4" s="6"/>
      <c r="K4" s="5">
        <v>46296</v>
      </c>
      <c r="L4" s="6"/>
      <c r="M4" s="6"/>
    </row>
    <row r="5" spans="1:13" x14ac:dyDescent="0.3">
      <c r="A5" s="4" t="s">
        <v>4</v>
      </c>
      <c r="B5" s="7" t="s">
        <v>10</v>
      </c>
      <c r="C5" s="7" t="s">
        <v>11</v>
      </c>
      <c r="D5" s="7" t="s">
        <v>12</v>
      </c>
      <c r="E5" s="7" t="s">
        <v>10</v>
      </c>
      <c r="F5" s="7" t="s">
        <v>11</v>
      </c>
      <c r="G5" s="7" t="s">
        <v>12</v>
      </c>
      <c r="H5" s="7" t="s">
        <v>10</v>
      </c>
      <c r="I5" s="7" t="s">
        <v>11</v>
      </c>
      <c r="J5" s="7" t="s">
        <v>12</v>
      </c>
      <c r="K5" s="7" t="s">
        <v>10</v>
      </c>
      <c r="L5" s="7" t="s">
        <v>11</v>
      </c>
      <c r="M5" s="7" t="s">
        <v>12</v>
      </c>
    </row>
    <row r="6" spans="1:13" x14ac:dyDescent="0.3">
      <c r="A6" s="8" t="s">
        <v>5</v>
      </c>
      <c r="B6" s="7">
        <v>37</v>
      </c>
      <c r="C6" s="7">
        <v>37</v>
      </c>
      <c r="D6" s="9">
        <f>B6/C6</f>
        <v>1</v>
      </c>
      <c r="E6" s="7">
        <v>37</v>
      </c>
      <c r="F6" s="7">
        <v>37</v>
      </c>
      <c r="G6" s="9">
        <f>E6/F6</f>
        <v>1</v>
      </c>
      <c r="H6" s="7">
        <v>15</v>
      </c>
      <c r="I6" s="7">
        <v>15</v>
      </c>
      <c r="J6" s="9">
        <f>H6/I6</f>
        <v>1</v>
      </c>
      <c r="K6" s="7"/>
      <c r="L6" s="7"/>
      <c r="M6" s="9" t="e">
        <f>K6/L6</f>
        <v>#DIV/0!</v>
      </c>
    </row>
    <row r="7" spans="1:13" x14ac:dyDescent="0.3">
      <c r="A7" s="8" t="s">
        <v>6</v>
      </c>
      <c r="B7" s="7">
        <v>4</v>
      </c>
      <c r="C7" s="7">
        <v>4</v>
      </c>
      <c r="D7" s="9">
        <f t="shared" ref="D7:D10" si="0">B7/C7</f>
        <v>1</v>
      </c>
      <c r="E7" s="7">
        <v>4</v>
      </c>
      <c r="F7" s="7">
        <v>4</v>
      </c>
      <c r="G7" s="9">
        <f t="shared" ref="G7:G11" si="1">E7/F7</f>
        <v>1</v>
      </c>
      <c r="H7" s="7">
        <v>5</v>
      </c>
      <c r="I7" s="7">
        <v>5</v>
      </c>
      <c r="J7" s="9">
        <f t="shared" ref="J7:J11" si="2">H7/I7</f>
        <v>1</v>
      </c>
      <c r="K7" s="7"/>
      <c r="L7" s="7"/>
      <c r="M7" s="9" t="e">
        <f t="shared" ref="M7:M11" si="3">K7/L7</f>
        <v>#DIV/0!</v>
      </c>
    </row>
    <row r="8" spans="1:13" x14ac:dyDescent="0.3">
      <c r="A8" s="8" t="s">
        <v>7</v>
      </c>
      <c r="B8" s="7">
        <v>1</v>
      </c>
      <c r="C8" s="7">
        <v>2</v>
      </c>
      <c r="D8" s="9">
        <f t="shared" si="0"/>
        <v>0.5</v>
      </c>
      <c r="E8" s="7">
        <v>4</v>
      </c>
      <c r="F8" s="7">
        <v>4</v>
      </c>
      <c r="G8" s="9">
        <f t="shared" si="1"/>
        <v>1</v>
      </c>
      <c r="H8" s="7">
        <v>5</v>
      </c>
      <c r="I8" s="7">
        <v>5</v>
      </c>
      <c r="J8" s="9">
        <f t="shared" si="2"/>
        <v>1</v>
      </c>
      <c r="K8" s="7"/>
      <c r="L8" s="7"/>
      <c r="M8" s="9" t="e">
        <f t="shared" si="3"/>
        <v>#DIV/0!</v>
      </c>
    </row>
    <row r="9" spans="1:13" x14ac:dyDescent="0.3">
      <c r="A9" s="8" t="s">
        <v>8</v>
      </c>
      <c r="B9" s="7">
        <v>1</v>
      </c>
      <c r="C9" s="7">
        <v>1</v>
      </c>
      <c r="D9" s="9">
        <f t="shared" si="0"/>
        <v>1</v>
      </c>
      <c r="E9" s="7">
        <v>2</v>
      </c>
      <c r="F9" s="7">
        <v>2</v>
      </c>
      <c r="G9" s="9">
        <f t="shared" si="1"/>
        <v>1</v>
      </c>
      <c r="H9" s="7">
        <v>5</v>
      </c>
      <c r="I9" s="7">
        <v>5</v>
      </c>
      <c r="J9" s="9">
        <f t="shared" si="2"/>
        <v>1</v>
      </c>
      <c r="K9" s="7"/>
      <c r="L9" s="7"/>
      <c r="M9" s="9" t="e">
        <f t="shared" si="3"/>
        <v>#DIV/0!</v>
      </c>
    </row>
    <row r="10" spans="1:13" ht="28.8" x14ac:dyDescent="0.3">
      <c r="A10" s="10" t="s">
        <v>9</v>
      </c>
      <c r="B10" s="7">
        <v>39</v>
      </c>
      <c r="C10" s="7">
        <v>39</v>
      </c>
      <c r="D10" s="9">
        <f t="shared" si="0"/>
        <v>1</v>
      </c>
      <c r="E10" s="7">
        <v>39</v>
      </c>
      <c r="F10" s="7">
        <v>39</v>
      </c>
      <c r="G10" s="9">
        <f t="shared" si="1"/>
        <v>1</v>
      </c>
      <c r="H10" s="7">
        <v>14</v>
      </c>
      <c r="I10" s="7">
        <v>15</v>
      </c>
      <c r="J10" s="9">
        <f t="shared" si="2"/>
        <v>0.93333333333333335</v>
      </c>
      <c r="K10" s="7"/>
      <c r="L10" s="7"/>
      <c r="M10" s="9" t="e">
        <f t="shared" si="3"/>
        <v>#DIV/0!</v>
      </c>
    </row>
    <row r="11" spans="1:13" x14ac:dyDescent="0.3">
      <c r="A11" s="8" t="s">
        <v>13</v>
      </c>
      <c r="B11" s="7">
        <f>SUM(B6:B10)</f>
        <v>82</v>
      </c>
      <c r="C11" s="7">
        <f>SUM(C6:C10)</f>
        <v>83</v>
      </c>
      <c r="D11" s="11">
        <f>B11/C11</f>
        <v>0.98795180722891562</v>
      </c>
      <c r="E11" s="7">
        <f>SUM(E6:E10)</f>
        <v>86</v>
      </c>
      <c r="F11" s="7">
        <f>SUM(F6:F10)</f>
        <v>86</v>
      </c>
      <c r="G11" s="11">
        <f t="shared" si="1"/>
        <v>1</v>
      </c>
      <c r="H11" s="7">
        <f>SUM(H6:H10)</f>
        <v>44</v>
      </c>
      <c r="I11" s="7">
        <f>SUM(I6:I10)</f>
        <v>45</v>
      </c>
      <c r="J11" s="11">
        <f t="shared" si="2"/>
        <v>0.97777777777777775</v>
      </c>
      <c r="K11" s="7">
        <f>SUM(K6:K10)</f>
        <v>0</v>
      </c>
      <c r="L11" s="7">
        <f>SUM(L6:L10)</f>
        <v>0</v>
      </c>
      <c r="M11" s="11" t="e">
        <f t="shared" si="3"/>
        <v>#DIV/0!</v>
      </c>
    </row>
    <row r="12" spans="1:13" x14ac:dyDescent="0.3">
      <c r="B12" s="2"/>
      <c r="C12" s="2"/>
      <c r="D12" s="3"/>
    </row>
    <row r="13" spans="1:13" x14ac:dyDescent="0.3">
      <c r="A13" s="1" t="s">
        <v>0</v>
      </c>
      <c r="B13" s="1" t="s">
        <v>1</v>
      </c>
    </row>
    <row r="14" spans="1:13" x14ac:dyDescent="0.3">
      <c r="A14" s="1" t="s">
        <v>2</v>
      </c>
      <c r="B14" s="1" t="s">
        <v>16</v>
      </c>
      <c r="C14" s="1"/>
      <c r="D14" s="1"/>
      <c r="E14" s="1"/>
    </row>
    <row r="15" spans="1:13" x14ac:dyDescent="0.3">
      <c r="A15" s="12" t="s">
        <v>15</v>
      </c>
      <c r="B15" s="13">
        <v>0.85</v>
      </c>
      <c r="C15" s="1"/>
      <c r="D15" s="1"/>
      <c r="E15" s="1"/>
    </row>
    <row r="16" spans="1:13" x14ac:dyDescent="0.3">
      <c r="A16" s="4" t="s">
        <v>14</v>
      </c>
      <c r="B16" s="5">
        <v>45748</v>
      </c>
      <c r="C16" s="6"/>
      <c r="D16" s="6"/>
      <c r="E16" s="5">
        <v>45931</v>
      </c>
      <c r="F16" s="6"/>
      <c r="G16" s="6"/>
      <c r="H16" s="5">
        <v>46113</v>
      </c>
      <c r="I16" s="6"/>
      <c r="J16" s="6"/>
      <c r="K16" s="5">
        <v>46296</v>
      </c>
      <c r="L16" s="6"/>
      <c r="M16" s="6"/>
    </row>
    <row r="17" spans="1:13" x14ac:dyDescent="0.3">
      <c r="A17" s="4" t="s">
        <v>4</v>
      </c>
      <c r="B17" s="7" t="s">
        <v>10</v>
      </c>
      <c r="C17" s="7" t="s">
        <v>11</v>
      </c>
      <c r="D17" s="7" t="s">
        <v>12</v>
      </c>
      <c r="E17" s="7" t="s">
        <v>10</v>
      </c>
      <c r="F17" s="7" t="s">
        <v>11</v>
      </c>
      <c r="G17" s="7" t="s">
        <v>12</v>
      </c>
      <c r="H17" s="7" t="s">
        <v>10</v>
      </c>
      <c r="I17" s="7" t="s">
        <v>11</v>
      </c>
      <c r="J17" s="7" t="s">
        <v>12</v>
      </c>
      <c r="K17" s="7" t="s">
        <v>10</v>
      </c>
      <c r="L17" s="7" t="s">
        <v>11</v>
      </c>
      <c r="M17" s="7" t="s">
        <v>12</v>
      </c>
    </row>
    <row r="18" spans="1:13" x14ac:dyDescent="0.3">
      <c r="A18" s="8" t="s">
        <v>5</v>
      </c>
      <c r="B18" s="7">
        <v>2</v>
      </c>
      <c r="C18" s="7">
        <v>2</v>
      </c>
      <c r="D18" s="9">
        <f>B18/C18</f>
        <v>1</v>
      </c>
      <c r="E18" s="7">
        <v>2</v>
      </c>
      <c r="F18" s="7">
        <v>2</v>
      </c>
      <c r="G18" s="9">
        <f>E18/F18</f>
        <v>1</v>
      </c>
      <c r="H18" s="7">
        <v>2</v>
      </c>
      <c r="I18" s="7">
        <v>2</v>
      </c>
      <c r="J18" s="9">
        <f>H18/I18</f>
        <v>1</v>
      </c>
      <c r="K18" s="7"/>
      <c r="L18" s="7"/>
      <c r="M18" s="9" t="e">
        <f>K18/L18</f>
        <v>#DIV/0!</v>
      </c>
    </row>
    <row r="20" spans="1:13" x14ac:dyDescent="0.3">
      <c r="A20" s="1" t="s">
        <v>0</v>
      </c>
      <c r="B20" s="1" t="s">
        <v>17</v>
      </c>
    </row>
    <row r="21" spans="1:13" x14ac:dyDescent="0.3">
      <c r="A21" s="1" t="s">
        <v>2</v>
      </c>
      <c r="B21" s="1" t="s">
        <v>18</v>
      </c>
      <c r="C21" s="1"/>
      <c r="D21" s="1"/>
      <c r="E21" s="1"/>
    </row>
    <row r="22" spans="1:13" x14ac:dyDescent="0.3">
      <c r="A22" s="12" t="s">
        <v>15</v>
      </c>
      <c r="B22" s="13">
        <v>0.85</v>
      </c>
      <c r="C22" s="1"/>
      <c r="D22" s="1"/>
      <c r="E22" s="1"/>
    </row>
    <row r="23" spans="1:13" x14ac:dyDescent="0.3">
      <c r="A23" s="4" t="s">
        <v>14</v>
      </c>
      <c r="B23" s="5">
        <v>45658</v>
      </c>
      <c r="C23" s="6"/>
      <c r="D23" s="6"/>
      <c r="E23" s="5">
        <v>45870</v>
      </c>
      <c r="F23" s="6"/>
      <c r="G23" s="6"/>
      <c r="H23" s="5">
        <v>46023</v>
      </c>
      <c r="I23" s="6"/>
      <c r="J23" s="6"/>
      <c r="K23" s="5">
        <v>46235</v>
      </c>
      <c r="L23" s="6"/>
      <c r="M23" s="6"/>
    </row>
    <row r="24" spans="1:13" x14ac:dyDescent="0.3">
      <c r="A24" s="4" t="s">
        <v>4</v>
      </c>
      <c r="B24" s="7" t="s">
        <v>10</v>
      </c>
      <c r="C24" s="7" t="s">
        <v>11</v>
      </c>
      <c r="D24" s="7" t="s">
        <v>12</v>
      </c>
      <c r="E24" s="7" t="s">
        <v>10</v>
      </c>
      <c r="F24" s="7" t="s">
        <v>11</v>
      </c>
      <c r="G24" s="7" t="s">
        <v>12</v>
      </c>
      <c r="H24" s="7" t="s">
        <v>10</v>
      </c>
      <c r="I24" s="7" t="s">
        <v>11</v>
      </c>
      <c r="J24" s="7" t="s">
        <v>12</v>
      </c>
      <c r="K24" s="7" t="s">
        <v>10</v>
      </c>
      <c r="L24" s="7" t="s">
        <v>11</v>
      </c>
      <c r="M24" s="7" t="s">
        <v>12</v>
      </c>
    </row>
    <row r="25" spans="1:13" x14ac:dyDescent="0.3">
      <c r="A25" s="8" t="s">
        <v>5</v>
      </c>
      <c r="B25" s="7">
        <v>8</v>
      </c>
      <c r="C25" s="7">
        <v>8</v>
      </c>
      <c r="D25" s="9">
        <f>B25/C25</f>
        <v>1</v>
      </c>
      <c r="E25" s="7">
        <v>10</v>
      </c>
      <c r="F25" s="7">
        <v>10</v>
      </c>
      <c r="G25" s="9">
        <f>E25/F25</f>
        <v>1</v>
      </c>
      <c r="H25" s="7">
        <v>13</v>
      </c>
      <c r="I25" s="7">
        <v>13</v>
      </c>
      <c r="J25" s="9">
        <f>H25/I25</f>
        <v>1</v>
      </c>
      <c r="K25" s="7"/>
      <c r="L25" s="7"/>
      <c r="M25" s="9" t="e">
        <f>K25/L25</f>
        <v>#DIV/0!</v>
      </c>
    </row>
    <row r="26" spans="1:13" x14ac:dyDescent="0.3">
      <c r="A26" s="8" t="s">
        <v>19</v>
      </c>
      <c r="B26" s="7">
        <v>2</v>
      </c>
      <c r="C26" s="7">
        <v>2</v>
      </c>
      <c r="D26" s="9">
        <f t="shared" ref="D26:D30" si="4">B26/C26</f>
        <v>1</v>
      </c>
      <c r="E26" s="7">
        <v>2</v>
      </c>
      <c r="F26" s="7">
        <v>2</v>
      </c>
      <c r="G26" s="9">
        <f t="shared" ref="G26:G31" si="5">E26/F26</f>
        <v>1</v>
      </c>
      <c r="H26" s="7">
        <v>3</v>
      </c>
      <c r="I26" s="7">
        <v>3</v>
      </c>
      <c r="J26" s="9">
        <f t="shared" ref="J26:J31" si="6">H26/I26</f>
        <v>1</v>
      </c>
      <c r="K26" s="7"/>
      <c r="L26" s="7"/>
      <c r="M26" s="9" t="e">
        <f t="shared" ref="M26:M31" si="7">K26/L26</f>
        <v>#DIV/0!</v>
      </c>
    </row>
    <row r="27" spans="1:13" x14ac:dyDescent="0.3">
      <c r="A27" s="8" t="s">
        <v>20</v>
      </c>
      <c r="B27" s="7">
        <v>3</v>
      </c>
      <c r="C27" s="7">
        <v>3</v>
      </c>
      <c r="D27" s="9">
        <f t="shared" si="4"/>
        <v>1</v>
      </c>
      <c r="E27" s="7">
        <v>1</v>
      </c>
      <c r="F27" s="7">
        <v>1</v>
      </c>
      <c r="G27" s="9">
        <f t="shared" si="5"/>
        <v>1</v>
      </c>
      <c r="H27" s="7">
        <v>1</v>
      </c>
      <c r="I27" s="7">
        <v>1</v>
      </c>
      <c r="J27" s="9">
        <f t="shared" si="6"/>
        <v>1</v>
      </c>
      <c r="K27" s="7"/>
      <c r="L27" s="7"/>
      <c r="M27" s="9" t="e">
        <f t="shared" si="7"/>
        <v>#DIV/0!</v>
      </c>
    </row>
    <row r="28" spans="1:13" x14ac:dyDescent="0.3">
      <c r="A28" s="8" t="s">
        <v>21</v>
      </c>
      <c r="B28" s="7">
        <v>9</v>
      </c>
      <c r="C28" s="7">
        <v>9</v>
      </c>
      <c r="D28" s="9">
        <f t="shared" si="4"/>
        <v>1</v>
      </c>
      <c r="E28" s="7">
        <v>8</v>
      </c>
      <c r="F28" s="7">
        <v>8</v>
      </c>
      <c r="G28" s="9">
        <f t="shared" si="5"/>
        <v>1</v>
      </c>
      <c r="H28" s="7">
        <v>11</v>
      </c>
      <c r="I28" s="7">
        <v>11</v>
      </c>
      <c r="J28" s="9">
        <f t="shared" si="6"/>
        <v>1</v>
      </c>
      <c r="K28" s="7"/>
      <c r="L28" s="7"/>
      <c r="M28" s="9" t="e">
        <f t="shared" si="7"/>
        <v>#DIV/0!</v>
      </c>
    </row>
    <row r="29" spans="1:13" x14ac:dyDescent="0.3">
      <c r="A29" s="10" t="s">
        <v>22</v>
      </c>
      <c r="B29" s="7">
        <v>2</v>
      </c>
      <c r="C29" s="7">
        <v>2</v>
      </c>
      <c r="D29" s="9">
        <f t="shared" si="4"/>
        <v>1</v>
      </c>
      <c r="E29" s="7">
        <v>3</v>
      </c>
      <c r="F29" s="7">
        <v>3</v>
      </c>
      <c r="G29" s="9">
        <f t="shared" si="5"/>
        <v>1</v>
      </c>
      <c r="H29" s="7">
        <v>1</v>
      </c>
      <c r="I29" s="7">
        <v>1</v>
      </c>
      <c r="J29" s="9">
        <f t="shared" si="6"/>
        <v>1</v>
      </c>
      <c r="K29" s="7"/>
      <c r="L29" s="7"/>
      <c r="M29" s="9" t="e">
        <f t="shared" si="7"/>
        <v>#DIV/0!</v>
      </c>
    </row>
    <row r="30" spans="1:13" ht="28.8" x14ac:dyDescent="0.3">
      <c r="A30" s="10" t="s">
        <v>23</v>
      </c>
      <c r="B30" s="7">
        <v>6</v>
      </c>
      <c r="C30" s="7">
        <v>6</v>
      </c>
      <c r="D30" s="9">
        <f t="shared" si="4"/>
        <v>1</v>
      </c>
      <c r="E30" s="7">
        <v>6</v>
      </c>
      <c r="F30" s="7">
        <v>6</v>
      </c>
      <c r="G30" s="9">
        <f t="shared" si="5"/>
        <v>1</v>
      </c>
      <c r="H30" s="7">
        <v>4</v>
      </c>
      <c r="I30" s="7">
        <v>4</v>
      </c>
      <c r="J30" s="9">
        <f t="shared" si="6"/>
        <v>1</v>
      </c>
      <c r="K30" s="7"/>
      <c r="L30" s="7"/>
      <c r="M30" s="9" t="e">
        <f t="shared" si="7"/>
        <v>#DIV/0!</v>
      </c>
    </row>
    <row r="31" spans="1:13" x14ac:dyDescent="0.3">
      <c r="A31" s="8" t="s">
        <v>13</v>
      </c>
      <c r="B31" s="7">
        <f>SUM(B25:B30)</f>
        <v>30</v>
      </c>
      <c r="C31" s="7">
        <f>SUM(C25:C30)</f>
        <v>30</v>
      </c>
      <c r="D31" s="11">
        <f>B31/C31</f>
        <v>1</v>
      </c>
      <c r="E31" s="7">
        <f>SUM(E25:E30)</f>
        <v>30</v>
      </c>
      <c r="F31" s="7">
        <f>SUM(F25:F30)</f>
        <v>30</v>
      </c>
      <c r="G31" s="11">
        <f t="shared" si="5"/>
        <v>1</v>
      </c>
      <c r="H31" s="7">
        <f>SUM(H25:H30)</f>
        <v>33</v>
      </c>
      <c r="I31" s="7">
        <f>SUM(I25:I30)</f>
        <v>33</v>
      </c>
      <c r="J31" s="11">
        <f t="shared" si="6"/>
        <v>1</v>
      </c>
      <c r="K31" s="7">
        <f>SUM(K25:K30)</f>
        <v>0</v>
      </c>
      <c r="L31" s="7">
        <f>SUM(L25:L30)</f>
        <v>0</v>
      </c>
      <c r="M31" s="11" t="e">
        <f t="shared" si="7"/>
        <v>#DIV/0!</v>
      </c>
    </row>
    <row r="33" spans="1:13" x14ac:dyDescent="0.3">
      <c r="A33" s="1" t="s">
        <v>0</v>
      </c>
      <c r="B33" s="1" t="s">
        <v>17</v>
      </c>
    </row>
    <row r="34" spans="1:13" x14ac:dyDescent="0.3">
      <c r="A34" s="1" t="s">
        <v>2</v>
      </c>
      <c r="B34" s="1" t="s">
        <v>24</v>
      </c>
      <c r="C34" s="1"/>
      <c r="D34" s="1"/>
      <c r="E34" s="1"/>
    </row>
    <row r="35" spans="1:13" x14ac:dyDescent="0.3">
      <c r="A35" s="12" t="s">
        <v>15</v>
      </c>
      <c r="B35" s="13">
        <v>0.8</v>
      </c>
      <c r="C35" s="1"/>
      <c r="D35" s="1"/>
      <c r="E35" s="1"/>
    </row>
    <row r="36" spans="1:13" x14ac:dyDescent="0.3">
      <c r="A36" s="4" t="s">
        <v>14</v>
      </c>
      <c r="B36" s="5">
        <v>45658</v>
      </c>
      <c r="C36" s="6"/>
      <c r="D36" s="6"/>
      <c r="E36" s="5">
        <v>45870</v>
      </c>
      <c r="F36" s="6"/>
      <c r="G36" s="6"/>
      <c r="H36" s="5">
        <v>46023</v>
      </c>
      <c r="I36" s="6"/>
      <c r="J36" s="6"/>
      <c r="K36" s="5">
        <v>46235</v>
      </c>
      <c r="L36" s="6"/>
      <c r="M36" s="6"/>
    </row>
    <row r="37" spans="1:13" x14ac:dyDescent="0.3">
      <c r="A37" s="4" t="s">
        <v>4</v>
      </c>
      <c r="B37" s="7" t="s">
        <v>10</v>
      </c>
      <c r="C37" s="7" t="s">
        <v>11</v>
      </c>
      <c r="D37" s="7" t="s">
        <v>12</v>
      </c>
      <c r="E37" s="7" t="s">
        <v>10</v>
      </c>
      <c r="F37" s="7" t="s">
        <v>11</v>
      </c>
      <c r="G37" s="7" t="s">
        <v>12</v>
      </c>
      <c r="H37" s="7" t="s">
        <v>10</v>
      </c>
      <c r="I37" s="7" t="s">
        <v>11</v>
      </c>
      <c r="J37" s="7" t="s">
        <v>12</v>
      </c>
      <c r="K37" s="7" t="s">
        <v>10</v>
      </c>
      <c r="L37" s="7" t="s">
        <v>11</v>
      </c>
      <c r="M37" s="7" t="s">
        <v>12</v>
      </c>
    </row>
    <row r="38" spans="1:13" x14ac:dyDescent="0.3">
      <c r="A38" s="8" t="s">
        <v>5</v>
      </c>
      <c r="B38" s="7">
        <v>1</v>
      </c>
      <c r="C38" s="7">
        <v>1</v>
      </c>
      <c r="D38" s="9">
        <f>B38/C38</f>
        <v>1</v>
      </c>
      <c r="E38" s="7">
        <v>1</v>
      </c>
      <c r="F38" s="7">
        <v>1</v>
      </c>
      <c r="G38" s="9">
        <f>E38/F38</f>
        <v>1</v>
      </c>
      <c r="H38" s="7">
        <v>1</v>
      </c>
      <c r="I38" s="7">
        <v>1</v>
      </c>
      <c r="J38" s="9">
        <f>H38/I38</f>
        <v>1</v>
      </c>
      <c r="K38" s="7"/>
      <c r="L38" s="7"/>
      <c r="M38" s="9" t="e">
        <f>K38/L38</f>
        <v>#DIV/0!</v>
      </c>
    </row>
    <row r="39" spans="1:13" x14ac:dyDescent="0.3">
      <c r="A39" s="8" t="s">
        <v>19</v>
      </c>
      <c r="B39" s="7">
        <v>1</v>
      </c>
      <c r="C39" s="7">
        <v>1</v>
      </c>
      <c r="D39" s="9">
        <f t="shared" ref="D39:D42" si="8">B39/C39</f>
        <v>1</v>
      </c>
      <c r="E39" s="7">
        <v>1</v>
      </c>
      <c r="F39" s="7">
        <v>1</v>
      </c>
      <c r="G39" s="9">
        <f t="shared" ref="G39:G43" si="9">E39/F39</f>
        <v>1</v>
      </c>
      <c r="H39" s="7">
        <v>1</v>
      </c>
      <c r="I39" s="7">
        <v>1</v>
      </c>
      <c r="J39" s="9">
        <f t="shared" ref="J39:J43" si="10">H39/I39</f>
        <v>1</v>
      </c>
      <c r="K39" s="7"/>
      <c r="L39" s="7"/>
      <c r="M39" s="9" t="e">
        <f t="shared" ref="M39:M43" si="11">K39/L39</f>
        <v>#DIV/0!</v>
      </c>
    </row>
    <row r="40" spans="1:13" x14ac:dyDescent="0.3">
      <c r="A40" s="8" t="s">
        <v>20</v>
      </c>
      <c r="B40" s="7">
        <v>1</v>
      </c>
      <c r="C40" s="7">
        <v>1</v>
      </c>
      <c r="D40" s="9">
        <f t="shared" si="8"/>
        <v>1</v>
      </c>
      <c r="E40" s="7">
        <v>1</v>
      </c>
      <c r="F40" s="7">
        <v>1</v>
      </c>
      <c r="G40" s="9">
        <f t="shared" si="9"/>
        <v>1</v>
      </c>
      <c r="H40" s="7">
        <v>1</v>
      </c>
      <c r="I40" s="7">
        <v>1</v>
      </c>
      <c r="J40" s="9">
        <f t="shared" si="10"/>
        <v>1</v>
      </c>
      <c r="K40" s="7"/>
      <c r="L40" s="7"/>
      <c r="M40" s="9" t="e">
        <f t="shared" si="11"/>
        <v>#DIV/0!</v>
      </c>
    </row>
    <row r="41" spans="1:13" x14ac:dyDescent="0.3">
      <c r="A41" s="8" t="s">
        <v>21</v>
      </c>
      <c r="B41" s="7">
        <v>1</v>
      </c>
      <c r="C41" s="7">
        <v>1</v>
      </c>
      <c r="D41" s="9">
        <f t="shared" si="8"/>
        <v>1</v>
      </c>
      <c r="E41" s="7">
        <v>1</v>
      </c>
      <c r="F41" s="7">
        <v>1</v>
      </c>
      <c r="G41" s="9">
        <f t="shared" si="9"/>
        <v>1</v>
      </c>
      <c r="H41" s="7">
        <v>1</v>
      </c>
      <c r="I41" s="7">
        <v>1</v>
      </c>
      <c r="J41" s="9">
        <f t="shared" si="10"/>
        <v>1</v>
      </c>
      <c r="K41" s="7"/>
      <c r="L41" s="7"/>
      <c r="M41" s="9" t="e">
        <f t="shared" si="11"/>
        <v>#DIV/0!</v>
      </c>
    </row>
    <row r="42" spans="1:13" x14ac:dyDescent="0.3">
      <c r="A42" s="10" t="s">
        <v>22</v>
      </c>
      <c r="B42" s="7">
        <v>1</v>
      </c>
      <c r="C42" s="7">
        <v>1</v>
      </c>
      <c r="D42" s="9">
        <f t="shared" si="8"/>
        <v>1</v>
      </c>
      <c r="E42" s="7">
        <v>1</v>
      </c>
      <c r="F42" s="7">
        <v>1</v>
      </c>
      <c r="G42" s="9">
        <f t="shared" si="9"/>
        <v>1</v>
      </c>
      <c r="H42" s="7">
        <v>1</v>
      </c>
      <c r="I42" s="7">
        <v>1</v>
      </c>
      <c r="J42" s="9">
        <f t="shared" si="10"/>
        <v>1</v>
      </c>
      <c r="K42" s="7"/>
      <c r="L42" s="7"/>
      <c r="M42" s="9" t="e">
        <f t="shared" si="11"/>
        <v>#DIV/0!</v>
      </c>
    </row>
    <row r="43" spans="1:13" x14ac:dyDescent="0.3">
      <c r="A43" s="8" t="s">
        <v>13</v>
      </c>
      <c r="B43" s="7">
        <f>SUM(B38:B42)</f>
        <v>5</v>
      </c>
      <c r="C43" s="7">
        <f>SUM(C38:C42)</f>
        <v>5</v>
      </c>
      <c r="D43" s="11">
        <f>B43/C43</f>
        <v>1</v>
      </c>
      <c r="E43" s="7">
        <f>SUM(E38:E42)</f>
        <v>5</v>
      </c>
      <c r="F43" s="7">
        <f>SUM(F38:F42)</f>
        <v>5</v>
      </c>
      <c r="G43" s="11">
        <f t="shared" si="9"/>
        <v>1</v>
      </c>
      <c r="H43" s="7">
        <f>SUM(H38:H42)</f>
        <v>5</v>
      </c>
      <c r="I43" s="7">
        <f>SUM(I38:I42)</f>
        <v>5</v>
      </c>
      <c r="J43" s="11">
        <f t="shared" si="10"/>
        <v>1</v>
      </c>
      <c r="K43" s="7">
        <f>SUM(K38:K42)</f>
        <v>0</v>
      </c>
      <c r="L43" s="7">
        <f>SUM(L38:L42)</f>
        <v>0</v>
      </c>
      <c r="M43" s="11" t="e">
        <f t="shared" si="11"/>
        <v>#DIV/0!</v>
      </c>
    </row>
  </sheetData>
  <mergeCells count="16">
    <mergeCell ref="B36:D36"/>
    <mergeCell ref="E36:G36"/>
    <mergeCell ref="H36:J36"/>
    <mergeCell ref="K36:M36"/>
    <mergeCell ref="K4:M4"/>
    <mergeCell ref="K16:M16"/>
    <mergeCell ref="B23:D23"/>
    <mergeCell ref="E23:G23"/>
    <mergeCell ref="H23:J23"/>
    <mergeCell ref="K23:M23"/>
    <mergeCell ref="B4:D4"/>
    <mergeCell ref="E4:G4"/>
    <mergeCell ref="H4:J4"/>
    <mergeCell ref="B16:D16"/>
    <mergeCell ref="E16:G16"/>
    <mergeCell ref="H16:J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D7EA-9DA9-4948-8A44-4E906EEC5BAD}">
  <dimension ref="A1:Y32"/>
  <sheetViews>
    <sheetView tabSelected="1" workbookViewId="0">
      <selection activeCell="M23" sqref="M23"/>
    </sheetView>
  </sheetViews>
  <sheetFormatPr baseColWidth="10" defaultRowHeight="14.4" x14ac:dyDescent="0.3"/>
  <cols>
    <col min="1" max="1" width="19.44140625" customWidth="1"/>
  </cols>
  <sheetData>
    <row r="1" spans="1:25" x14ac:dyDescent="0.3">
      <c r="A1" s="1" t="s">
        <v>0</v>
      </c>
      <c r="B1" s="1" t="s">
        <v>25</v>
      </c>
    </row>
    <row r="2" spans="1:25" x14ac:dyDescent="0.3">
      <c r="A2" s="1" t="s">
        <v>2</v>
      </c>
      <c r="B2" s="1" t="s">
        <v>26</v>
      </c>
      <c r="C2" s="1"/>
      <c r="D2" s="1"/>
      <c r="E2" s="1"/>
    </row>
    <row r="3" spans="1:25" x14ac:dyDescent="0.3">
      <c r="A3" s="12" t="s">
        <v>15</v>
      </c>
      <c r="B3" s="13">
        <v>0.75</v>
      </c>
      <c r="C3" s="1"/>
      <c r="D3" s="1"/>
      <c r="E3" s="1"/>
    </row>
    <row r="4" spans="1:25" x14ac:dyDescent="0.3">
      <c r="A4" s="4" t="s">
        <v>14</v>
      </c>
      <c r="B4" s="5">
        <v>45658</v>
      </c>
      <c r="C4" s="6"/>
      <c r="D4" s="6"/>
      <c r="E4" s="5">
        <v>45748</v>
      </c>
      <c r="F4" s="6"/>
      <c r="G4" s="6"/>
      <c r="H4" s="5">
        <v>45839</v>
      </c>
      <c r="I4" s="6"/>
      <c r="J4" s="6"/>
      <c r="K4" s="5">
        <v>45931</v>
      </c>
      <c r="L4" s="6"/>
      <c r="M4" s="6"/>
      <c r="N4" s="5">
        <v>46023</v>
      </c>
      <c r="O4" s="6"/>
      <c r="P4" s="6"/>
      <c r="Q4" s="5">
        <v>46113</v>
      </c>
      <c r="R4" s="6"/>
      <c r="S4" s="6"/>
      <c r="T4" s="5">
        <v>46204</v>
      </c>
      <c r="U4" s="6"/>
      <c r="V4" s="6"/>
      <c r="W4" s="5">
        <v>46296</v>
      </c>
      <c r="X4" s="6"/>
      <c r="Y4" s="6"/>
    </row>
    <row r="5" spans="1:25" x14ac:dyDescent="0.3">
      <c r="A5" s="4" t="s">
        <v>4</v>
      </c>
      <c r="B5" s="7" t="s">
        <v>10</v>
      </c>
      <c r="C5" s="7" t="s">
        <v>11</v>
      </c>
      <c r="D5" s="7" t="s">
        <v>12</v>
      </c>
      <c r="E5" s="7" t="s">
        <v>10</v>
      </c>
      <c r="F5" s="7" t="s">
        <v>11</v>
      </c>
      <c r="G5" s="7" t="s">
        <v>12</v>
      </c>
      <c r="H5" s="7" t="s">
        <v>10</v>
      </c>
      <c r="I5" s="7" t="s">
        <v>11</v>
      </c>
      <c r="J5" s="7" t="s">
        <v>12</v>
      </c>
      <c r="K5" s="7" t="s">
        <v>10</v>
      </c>
      <c r="L5" s="7" t="s">
        <v>11</v>
      </c>
      <c r="M5" s="7" t="s">
        <v>12</v>
      </c>
      <c r="N5" s="7" t="s">
        <v>10</v>
      </c>
      <c r="O5" s="7" t="s">
        <v>11</v>
      </c>
      <c r="P5" s="7" t="s">
        <v>12</v>
      </c>
      <c r="Q5" s="7" t="s">
        <v>10</v>
      </c>
      <c r="R5" s="7" t="s">
        <v>11</v>
      </c>
      <c r="S5" s="7" t="s">
        <v>12</v>
      </c>
      <c r="T5" s="7" t="s">
        <v>10</v>
      </c>
      <c r="U5" s="7" t="s">
        <v>11</v>
      </c>
      <c r="V5" s="7" t="s">
        <v>12</v>
      </c>
      <c r="W5" s="7" t="s">
        <v>10</v>
      </c>
      <c r="X5" s="7" t="s">
        <v>11</v>
      </c>
      <c r="Y5" s="7" t="s">
        <v>12</v>
      </c>
    </row>
    <row r="6" spans="1:25" x14ac:dyDescent="0.3">
      <c r="A6" s="8" t="s">
        <v>27</v>
      </c>
      <c r="B6" s="7">
        <v>4</v>
      </c>
      <c r="C6" s="7">
        <v>8</v>
      </c>
      <c r="D6" s="9">
        <f>B6/C6</f>
        <v>0.5</v>
      </c>
      <c r="E6" s="7">
        <v>10</v>
      </c>
      <c r="F6" s="7">
        <v>11</v>
      </c>
      <c r="G6" s="9">
        <f>E6/F6</f>
        <v>0.90909090909090906</v>
      </c>
      <c r="H6" s="7">
        <v>12</v>
      </c>
      <c r="I6" s="7">
        <v>12</v>
      </c>
      <c r="J6" s="9">
        <f>H6/I6</f>
        <v>1</v>
      </c>
      <c r="K6" s="7">
        <v>11</v>
      </c>
      <c r="L6" s="7">
        <v>11</v>
      </c>
      <c r="M6" s="9">
        <f>K6/L6</f>
        <v>1</v>
      </c>
      <c r="N6" s="7">
        <v>10</v>
      </c>
      <c r="O6" s="7">
        <v>14</v>
      </c>
      <c r="P6" s="9">
        <f>N6/O6</f>
        <v>0.7142857142857143</v>
      </c>
      <c r="Q6" s="7">
        <v>11</v>
      </c>
      <c r="R6" s="7">
        <v>11</v>
      </c>
      <c r="S6" s="9">
        <f>Q6/R6</f>
        <v>1</v>
      </c>
      <c r="T6" s="7"/>
      <c r="U6" s="7"/>
      <c r="V6" s="9" t="e">
        <f>T6/U6</f>
        <v>#DIV/0!</v>
      </c>
      <c r="W6" s="7"/>
      <c r="X6" s="7"/>
      <c r="Y6" s="9" t="e">
        <f>W6/X6</f>
        <v>#DIV/0!</v>
      </c>
    </row>
    <row r="7" spans="1:25" x14ac:dyDescent="0.3">
      <c r="A7" s="8" t="s">
        <v>22</v>
      </c>
      <c r="B7" s="7">
        <v>1</v>
      </c>
      <c r="C7" s="7">
        <v>2</v>
      </c>
      <c r="D7" s="9">
        <f t="shared" ref="D7:D9" si="0">B7/C7</f>
        <v>0.5</v>
      </c>
      <c r="E7" s="7">
        <v>2</v>
      </c>
      <c r="F7" s="7">
        <v>2</v>
      </c>
      <c r="G7" s="9">
        <f t="shared" ref="G7:G10" si="1">E7/F7</f>
        <v>1</v>
      </c>
      <c r="H7" s="7">
        <v>1</v>
      </c>
      <c r="I7" s="7">
        <v>1</v>
      </c>
      <c r="J7" s="9">
        <f t="shared" ref="J7:J10" si="2">H7/I7</f>
        <v>1</v>
      </c>
      <c r="K7" s="7">
        <v>3</v>
      </c>
      <c r="L7" s="7">
        <v>3</v>
      </c>
      <c r="M7" s="9">
        <f t="shared" ref="M7:M10" si="3">K7/L7</f>
        <v>1</v>
      </c>
      <c r="N7" s="7">
        <v>0</v>
      </c>
      <c r="O7" s="7">
        <v>1</v>
      </c>
      <c r="P7" s="9">
        <f t="shared" ref="P7:P10" si="4">N7/O7</f>
        <v>0</v>
      </c>
      <c r="Q7" s="7">
        <v>1</v>
      </c>
      <c r="R7" s="7">
        <v>1</v>
      </c>
      <c r="S7" s="9">
        <f t="shared" ref="S7:S10" si="5">Q7/R7</f>
        <v>1</v>
      </c>
      <c r="T7" s="7"/>
      <c r="U7" s="7"/>
      <c r="V7" s="9" t="e">
        <f t="shared" ref="V7:V10" si="6">T7/U7</f>
        <v>#DIV/0!</v>
      </c>
      <c r="W7" s="7"/>
      <c r="X7" s="7"/>
      <c r="Y7" s="9" t="e">
        <f t="shared" ref="Y7:Y10" si="7">W7/X7</f>
        <v>#DIV/0!</v>
      </c>
    </row>
    <row r="8" spans="1:25" x14ac:dyDescent="0.3">
      <c r="A8" s="8" t="s">
        <v>28</v>
      </c>
      <c r="B8" s="7">
        <v>2</v>
      </c>
      <c r="C8" s="7">
        <v>3</v>
      </c>
      <c r="D8" s="9">
        <f t="shared" si="0"/>
        <v>0.66666666666666663</v>
      </c>
      <c r="E8" s="7">
        <v>1</v>
      </c>
      <c r="F8" s="7">
        <v>1</v>
      </c>
      <c r="G8" s="9">
        <f t="shared" si="1"/>
        <v>1</v>
      </c>
      <c r="H8" s="7" t="s">
        <v>29</v>
      </c>
      <c r="I8" s="7" t="s">
        <v>29</v>
      </c>
      <c r="J8" s="9" t="e">
        <f t="shared" si="2"/>
        <v>#VALUE!</v>
      </c>
      <c r="K8" s="7">
        <v>1</v>
      </c>
      <c r="L8" s="7">
        <v>1</v>
      </c>
      <c r="M8" s="9">
        <f t="shared" si="3"/>
        <v>1</v>
      </c>
      <c r="N8" s="7" t="s">
        <v>29</v>
      </c>
      <c r="O8" s="7" t="s">
        <v>29</v>
      </c>
      <c r="P8" s="9" t="e">
        <f t="shared" si="4"/>
        <v>#VALUE!</v>
      </c>
      <c r="Q8" s="7">
        <v>1</v>
      </c>
      <c r="R8" s="7">
        <v>1</v>
      </c>
      <c r="S8" s="9">
        <f t="shared" si="5"/>
        <v>1</v>
      </c>
      <c r="T8" s="7"/>
      <c r="U8" s="7"/>
      <c r="V8" s="9" t="e">
        <f t="shared" si="6"/>
        <v>#DIV/0!</v>
      </c>
      <c r="W8" s="7"/>
      <c r="X8" s="7"/>
      <c r="Y8" s="9" t="e">
        <f t="shared" si="7"/>
        <v>#DIV/0!</v>
      </c>
    </row>
    <row r="9" spans="1:25" x14ac:dyDescent="0.3">
      <c r="A9" s="8" t="s">
        <v>19</v>
      </c>
      <c r="B9" s="7">
        <v>2</v>
      </c>
      <c r="C9" s="7">
        <v>2</v>
      </c>
      <c r="D9" s="9">
        <f t="shared" si="0"/>
        <v>1</v>
      </c>
      <c r="E9" s="7">
        <v>1</v>
      </c>
      <c r="F9" s="7">
        <v>1</v>
      </c>
      <c r="G9" s="9">
        <f t="shared" si="1"/>
        <v>1</v>
      </c>
      <c r="H9" s="7">
        <v>2</v>
      </c>
      <c r="I9" s="7">
        <v>2</v>
      </c>
      <c r="J9" s="9">
        <f t="shared" si="2"/>
        <v>1</v>
      </c>
      <c r="K9" s="7" t="s">
        <v>29</v>
      </c>
      <c r="L9" s="7" t="s">
        <v>29</v>
      </c>
      <c r="M9" s="9" t="e">
        <f t="shared" si="3"/>
        <v>#VALUE!</v>
      </c>
      <c r="N9" s="7" t="s">
        <v>29</v>
      </c>
      <c r="O9" s="7" t="s">
        <v>29</v>
      </c>
      <c r="P9" s="9" t="e">
        <f t="shared" si="4"/>
        <v>#VALUE!</v>
      </c>
      <c r="Q9" s="7">
        <v>2</v>
      </c>
      <c r="R9" s="7">
        <v>2</v>
      </c>
      <c r="S9" s="9">
        <f t="shared" si="5"/>
        <v>1</v>
      </c>
      <c r="T9" s="7"/>
      <c r="U9" s="7"/>
      <c r="V9" s="9" t="e">
        <f t="shared" si="6"/>
        <v>#DIV/0!</v>
      </c>
      <c r="W9" s="7"/>
      <c r="X9" s="7"/>
      <c r="Y9" s="9" t="e">
        <f t="shared" si="7"/>
        <v>#DIV/0!</v>
      </c>
    </row>
    <row r="10" spans="1:25" x14ac:dyDescent="0.3">
      <c r="A10" s="8" t="s">
        <v>13</v>
      </c>
      <c r="B10" s="7">
        <f>SUM(B6:B9)</f>
        <v>9</v>
      </c>
      <c r="C10" s="7">
        <f>SUM(C6:C9)</f>
        <v>15</v>
      </c>
      <c r="D10" s="14">
        <f>B10/C10</f>
        <v>0.6</v>
      </c>
      <c r="E10" s="7">
        <f>SUM(E6:E9)</f>
        <v>14</v>
      </c>
      <c r="F10" s="7">
        <f>SUM(F6:F9)</f>
        <v>15</v>
      </c>
      <c r="G10" s="11">
        <f t="shared" si="1"/>
        <v>0.93333333333333335</v>
      </c>
      <c r="H10" s="7">
        <f>SUM(H6:H9)</f>
        <v>15</v>
      </c>
      <c r="I10" s="7">
        <f>SUM(I6:I9)</f>
        <v>15</v>
      </c>
      <c r="J10" s="11">
        <f t="shared" si="2"/>
        <v>1</v>
      </c>
      <c r="K10" s="7">
        <f>SUM(K6:K9)</f>
        <v>15</v>
      </c>
      <c r="L10" s="7">
        <f>SUM(L6:L9)</f>
        <v>15</v>
      </c>
      <c r="M10" s="11">
        <f t="shared" si="3"/>
        <v>1</v>
      </c>
      <c r="N10" s="7">
        <f>SUM(N6:N9)</f>
        <v>10</v>
      </c>
      <c r="O10" s="7">
        <f>SUM(O6:O9)</f>
        <v>15</v>
      </c>
      <c r="P10" s="14">
        <f t="shared" si="4"/>
        <v>0.66666666666666663</v>
      </c>
      <c r="Q10" s="7">
        <f>SUM(Q6:Q9)</f>
        <v>15</v>
      </c>
      <c r="R10" s="7">
        <f>SUM(R6:R9)</f>
        <v>15</v>
      </c>
      <c r="S10" s="11">
        <f t="shared" si="5"/>
        <v>1</v>
      </c>
      <c r="T10" s="7">
        <f>SUM(T6:T9)</f>
        <v>0</v>
      </c>
      <c r="U10" s="7">
        <f>SUM(U6:U9)</f>
        <v>0</v>
      </c>
      <c r="V10" s="11" t="e">
        <f t="shared" si="6"/>
        <v>#DIV/0!</v>
      </c>
      <c r="W10" s="7">
        <f>SUM(W6:W9)</f>
        <v>0</v>
      </c>
      <c r="X10" s="7">
        <f>SUM(X6:X9)</f>
        <v>0</v>
      </c>
      <c r="Y10" s="11" t="e">
        <f t="shared" si="7"/>
        <v>#DIV/0!</v>
      </c>
    </row>
    <row r="12" spans="1:25" x14ac:dyDescent="0.3">
      <c r="A12" s="1" t="s">
        <v>0</v>
      </c>
      <c r="B12" s="1" t="s">
        <v>30</v>
      </c>
    </row>
    <row r="13" spans="1:25" x14ac:dyDescent="0.3">
      <c r="A13" s="1" t="s">
        <v>2</v>
      </c>
      <c r="B13" s="1" t="s">
        <v>31</v>
      </c>
      <c r="C13" s="1"/>
      <c r="D13" s="1"/>
      <c r="E13" s="1"/>
    </row>
    <row r="14" spans="1:25" x14ac:dyDescent="0.3">
      <c r="A14" s="12" t="s">
        <v>15</v>
      </c>
      <c r="B14" s="13">
        <v>0.75</v>
      </c>
      <c r="C14" s="1"/>
      <c r="D14" s="1"/>
      <c r="E14" s="1"/>
    </row>
    <row r="15" spans="1:25" x14ac:dyDescent="0.3">
      <c r="A15" s="4" t="s">
        <v>14</v>
      </c>
      <c r="B15" s="5">
        <v>45658</v>
      </c>
      <c r="C15" s="6"/>
      <c r="D15" s="6"/>
      <c r="E15" s="5">
        <v>45748</v>
      </c>
      <c r="F15" s="6"/>
      <c r="G15" s="6"/>
      <c r="H15" s="5">
        <v>45839</v>
      </c>
      <c r="I15" s="6"/>
      <c r="J15" s="6"/>
      <c r="K15" s="5">
        <v>45931</v>
      </c>
      <c r="L15" s="6"/>
      <c r="M15" s="6"/>
      <c r="N15" s="5">
        <v>46023</v>
      </c>
      <c r="O15" s="6"/>
      <c r="P15" s="6"/>
      <c r="Q15" s="5">
        <v>46113</v>
      </c>
      <c r="R15" s="6"/>
      <c r="S15" s="6"/>
      <c r="T15" s="5">
        <v>46204</v>
      </c>
      <c r="U15" s="6"/>
      <c r="V15" s="6"/>
      <c r="W15" s="5">
        <v>46296</v>
      </c>
      <c r="X15" s="6"/>
      <c r="Y15" s="6"/>
    </row>
    <row r="16" spans="1:25" x14ac:dyDescent="0.3">
      <c r="A16" s="4" t="s">
        <v>4</v>
      </c>
      <c r="B16" s="7" t="s">
        <v>10</v>
      </c>
      <c r="C16" s="7" t="s">
        <v>11</v>
      </c>
      <c r="D16" s="7" t="s">
        <v>12</v>
      </c>
      <c r="E16" s="7" t="s">
        <v>10</v>
      </c>
      <c r="F16" s="7" t="s">
        <v>11</v>
      </c>
      <c r="G16" s="7" t="s">
        <v>12</v>
      </c>
      <c r="H16" s="7" t="s">
        <v>10</v>
      </c>
      <c r="I16" s="7" t="s">
        <v>11</v>
      </c>
      <c r="J16" s="7" t="s">
        <v>12</v>
      </c>
      <c r="K16" s="7" t="s">
        <v>10</v>
      </c>
      <c r="L16" s="7" t="s">
        <v>11</v>
      </c>
      <c r="M16" s="7" t="s">
        <v>12</v>
      </c>
      <c r="N16" s="7" t="s">
        <v>10</v>
      </c>
      <c r="O16" s="7" t="s">
        <v>11</v>
      </c>
      <c r="P16" s="7" t="s">
        <v>12</v>
      </c>
      <c r="Q16" s="7" t="s">
        <v>10</v>
      </c>
      <c r="R16" s="7" t="s">
        <v>11</v>
      </c>
      <c r="S16" s="7" t="s">
        <v>12</v>
      </c>
      <c r="T16" s="7" t="s">
        <v>10</v>
      </c>
      <c r="U16" s="7" t="s">
        <v>11</v>
      </c>
      <c r="V16" s="7" t="s">
        <v>12</v>
      </c>
      <c r="W16" s="7" t="s">
        <v>10</v>
      </c>
      <c r="X16" s="7" t="s">
        <v>11</v>
      </c>
      <c r="Y16" s="7" t="s">
        <v>12</v>
      </c>
    </row>
    <row r="17" spans="1:25" x14ac:dyDescent="0.3">
      <c r="A17" s="8" t="s">
        <v>27</v>
      </c>
      <c r="B17" s="7">
        <v>3</v>
      </c>
      <c r="C17" s="7">
        <v>7</v>
      </c>
      <c r="D17" s="9">
        <f>B17/C17</f>
        <v>0.42857142857142855</v>
      </c>
      <c r="E17" s="7">
        <v>2</v>
      </c>
      <c r="F17" s="7">
        <v>7</v>
      </c>
      <c r="G17" s="9">
        <f>E17/F17</f>
        <v>0.2857142857142857</v>
      </c>
      <c r="H17" s="7">
        <v>1</v>
      </c>
      <c r="I17" s="7">
        <v>3</v>
      </c>
      <c r="J17" s="9">
        <f>H17/I17</f>
        <v>0.33333333333333331</v>
      </c>
      <c r="K17" s="7">
        <v>5</v>
      </c>
      <c r="L17" s="7">
        <v>6</v>
      </c>
      <c r="M17" s="9">
        <f>K17/L17</f>
        <v>0.83333333333333337</v>
      </c>
      <c r="N17" s="7">
        <v>1</v>
      </c>
      <c r="O17" s="7">
        <v>2</v>
      </c>
      <c r="P17" s="9">
        <f>N17/O17</f>
        <v>0.5</v>
      </c>
      <c r="Q17" s="7">
        <v>3</v>
      </c>
      <c r="R17" s="7">
        <v>6</v>
      </c>
      <c r="S17" s="9">
        <f>Q17/R17</f>
        <v>0.5</v>
      </c>
      <c r="T17" s="7"/>
      <c r="U17" s="7"/>
      <c r="V17" s="9" t="e">
        <f>T17/U17</f>
        <v>#DIV/0!</v>
      </c>
      <c r="W17" s="7"/>
      <c r="X17" s="7"/>
      <c r="Y17" s="9" t="e">
        <f>W17/X17</f>
        <v>#DIV/0!</v>
      </c>
    </row>
    <row r="18" spans="1:25" x14ac:dyDescent="0.3">
      <c r="A18" s="8" t="s">
        <v>5</v>
      </c>
      <c r="B18" s="7">
        <v>1</v>
      </c>
      <c r="C18" s="7">
        <v>2</v>
      </c>
      <c r="D18" s="9">
        <f t="shared" ref="D18:D20" si="8">B18/C18</f>
        <v>0.5</v>
      </c>
      <c r="E18" s="7">
        <v>0</v>
      </c>
      <c r="F18" s="7">
        <v>2</v>
      </c>
      <c r="G18" s="9">
        <f t="shared" ref="G18:G21" si="9">E18/F18</f>
        <v>0</v>
      </c>
      <c r="H18" s="7">
        <v>3</v>
      </c>
      <c r="I18" s="7">
        <v>5</v>
      </c>
      <c r="J18" s="9">
        <f t="shared" ref="J18:J21" si="10">H18/I18</f>
        <v>0.6</v>
      </c>
      <c r="K18" s="7">
        <v>3</v>
      </c>
      <c r="L18" s="7">
        <v>4</v>
      </c>
      <c r="M18" s="9">
        <f t="shared" ref="M18:M21" si="11">K18/L18</f>
        <v>0.75</v>
      </c>
      <c r="N18" s="7">
        <v>4</v>
      </c>
      <c r="O18" s="7">
        <v>7</v>
      </c>
      <c r="P18" s="9">
        <f t="shared" ref="P18:P21" si="12">N18/O18</f>
        <v>0.5714285714285714</v>
      </c>
      <c r="Q18" s="7">
        <v>3</v>
      </c>
      <c r="R18" s="7">
        <v>3</v>
      </c>
      <c r="S18" s="9">
        <f t="shared" ref="S18:S21" si="13">Q18/R18</f>
        <v>1</v>
      </c>
      <c r="T18" s="7"/>
      <c r="U18" s="7"/>
      <c r="V18" s="9" t="e">
        <f t="shared" ref="V18:V21" si="14">T18/U18</f>
        <v>#DIV/0!</v>
      </c>
      <c r="W18" s="7"/>
      <c r="X18" s="7"/>
      <c r="Y18" s="9" t="e">
        <f t="shared" ref="Y18:Y21" si="15">W18/X18</f>
        <v>#DIV/0!</v>
      </c>
    </row>
    <row r="19" spans="1:25" x14ac:dyDescent="0.3">
      <c r="A19" s="8" t="s">
        <v>20</v>
      </c>
      <c r="B19" s="7">
        <v>1</v>
      </c>
      <c r="C19" s="7">
        <v>4</v>
      </c>
      <c r="D19" s="9">
        <f t="shared" si="8"/>
        <v>0.25</v>
      </c>
      <c r="E19" s="7">
        <v>3</v>
      </c>
      <c r="F19" s="7">
        <v>5</v>
      </c>
      <c r="G19" s="9">
        <f t="shared" si="9"/>
        <v>0.6</v>
      </c>
      <c r="H19" s="7">
        <v>4</v>
      </c>
      <c r="I19" s="7">
        <v>5</v>
      </c>
      <c r="J19" s="9">
        <f t="shared" si="10"/>
        <v>0.8</v>
      </c>
      <c r="K19" s="7">
        <v>2</v>
      </c>
      <c r="L19" s="7">
        <v>3</v>
      </c>
      <c r="M19" s="9">
        <f t="shared" si="11"/>
        <v>0.66666666666666663</v>
      </c>
      <c r="N19" s="7">
        <v>2</v>
      </c>
      <c r="O19" s="7">
        <v>4</v>
      </c>
      <c r="P19" s="9">
        <f t="shared" si="12"/>
        <v>0.5</v>
      </c>
      <c r="Q19" s="7">
        <v>3</v>
      </c>
      <c r="R19" s="7">
        <v>4</v>
      </c>
      <c r="S19" s="9">
        <f t="shared" si="13"/>
        <v>0.75</v>
      </c>
      <c r="T19" s="7"/>
      <c r="U19" s="7"/>
      <c r="V19" s="9" t="e">
        <f t="shared" si="14"/>
        <v>#DIV/0!</v>
      </c>
      <c r="W19" s="7"/>
      <c r="X19" s="7"/>
      <c r="Y19" s="9" t="e">
        <f t="shared" si="15"/>
        <v>#DIV/0!</v>
      </c>
    </row>
    <row r="20" spans="1:25" x14ac:dyDescent="0.3">
      <c r="A20" s="8" t="s">
        <v>19</v>
      </c>
      <c r="B20" s="7">
        <v>1</v>
      </c>
      <c r="C20" s="7">
        <v>2</v>
      </c>
      <c r="D20" s="9">
        <f t="shared" si="8"/>
        <v>0.5</v>
      </c>
      <c r="E20" s="7">
        <v>0</v>
      </c>
      <c r="F20" s="7">
        <v>1</v>
      </c>
      <c r="G20" s="9">
        <f t="shared" si="9"/>
        <v>0</v>
      </c>
      <c r="H20" s="7">
        <v>2</v>
      </c>
      <c r="I20" s="7">
        <v>2</v>
      </c>
      <c r="J20" s="9">
        <f t="shared" si="10"/>
        <v>1</v>
      </c>
      <c r="K20" s="7">
        <v>2</v>
      </c>
      <c r="L20" s="7">
        <v>2</v>
      </c>
      <c r="M20" s="9">
        <f t="shared" si="11"/>
        <v>1</v>
      </c>
      <c r="N20" s="7">
        <v>2</v>
      </c>
      <c r="O20" s="7">
        <v>2</v>
      </c>
      <c r="P20" s="9">
        <f t="shared" si="12"/>
        <v>1</v>
      </c>
      <c r="Q20" s="7">
        <v>1</v>
      </c>
      <c r="R20" s="7">
        <v>2</v>
      </c>
      <c r="S20" s="9">
        <f t="shared" si="13"/>
        <v>0.5</v>
      </c>
      <c r="T20" s="7"/>
      <c r="U20" s="7"/>
      <c r="V20" s="9" t="e">
        <f t="shared" si="14"/>
        <v>#DIV/0!</v>
      </c>
      <c r="W20" s="7"/>
      <c r="X20" s="7"/>
      <c r="Y20" s="9" t="e">
        <f t="shared" si="15"/>
        <v>#DIV/0!</v>
      </c>
    </row>
    <row r="21" spans="1:25" x14ac:dyDescent="0.3">
      <c r="A21" s="8" t="s">
        <v>13</v>
      </c>
      <c r="B21" s="7">
        <f>SUM(B17:B20)</f>
        <v>6</v>
      </c>
      <c r="C21" s="7">
        <f>SUM(C17:C20)</f>
        <v>15</v>
      </c>
      <c r="D21" s="15">
        <f>B21/C21</f>
        <v>0.4</v>
      </c>
      <c r="E21" s="7">
        <f>SUM(E17:E20)</f>
        <v>5</v>
      </c>
      <c r="F21" s="7">
        <f>SUM(F17:F20)</f>
        <v>15</v>
      </c>
      <c r="G21" s="15">
        <f t="shared" si="9"/>
        <v>0.33333333333333331</v>
      </c>
      <c r="H21" s="7">
        <f>SUM(H17:H20)</f>
        <v>10</v>
      </c>
      <c r="I21" s="7">
        <f>SUM(I17:I20)</f>
        <v>15</v>
      </c>
      <c r="J21" s="14">
        <f t="shared" si="10"/>
        <v>0.66666666666666663</v>
      </c>
      <c r="K21" s="7">
        <f>SUM(K17:K20)</f>
        <v>12</v>
      </c>
      <c r="L21" s="7">
        <f>SUM(L17:L20)</f>
        <v>15</v>
      </c>
      <c r="M21" s="11">
        <f t="shared" si="11"/>
        <v>0.8</v>
      </c>
      <c r="N21" s="7">
        <f>SUM(N17:N20)</f>
        <v>9</v>
      </c>
      <c r="O21" s="7">
        <f>SUM(O17:O20)</f>
        <v>15</v>
      </c>
      <c r="P21" s="14">
        <f t="shared" si="12"/>
        <v>0.6</v>
      </c>
      <c r="Q21" s="7">
        <f>SUM(Q17:Q20)</f>
        <v>10</v>
      </c>
      <c r="R21" s="7">
        <f>SUM(R17:R20)</f>
        <v>15</v>
      </c>
      <c r="S21" s="14">
        <f t="shared" si="13"/>
        <v>0.66666666666666663</v>
      </c>
      <c r="T21" s="7">
        <f>SUM(T17:T20)</f>
        <v>0</v>
      </c>
      <c r="U21" s="7">
        <f>SUM(U17:U20)</f>
        <v>0</v>
      </c>
      <c r="V21" s="11" t="e">
        <f t="shared" si="14"/>
        <v>#DIV/0!</v>
      </c>
      <c r="W21" s="7">
        <f>SUM(W17:W20)</f>
        <v>0</v>
      </c>
      <c r="X21" s="7">
        <f>SUM(X17:X20)</f>
        <v>0</v>
      </c>
      <c r="Y21" s="11" t="e">
        <f t="shared" si="15"/>
        <v>#DIV/0!</v>
      </c>
    </row>
    <row r="23" spans="1:25" x14ac:dyDescent="0.3">
      <c r="A23" s="1" t="s">
        <v>0</v>
      </c>
      <c r="B23" s="1" t="s">
        <v>32</v>
      </c>
    </row>
    <row r="24" spans="1:25" x14ac:dyDescent="0.3">
      <c r="A24" s="1" t="s">
        <v>2</v>
      </c>
      <c r="B24" s="1" t="s">
        <v>33</v>
      </c>
      <c r="C24" s="1"/>
      <c r="D24" s="1"/>
      <c r="E24" s="1"/>
    </row>
    <row r="25" spans="1:25" x14ac:dyDescent="0.3">
      <c r="A25" s="12" t="s">
        <v>15</v>
      </c>
      <c r="B25" s="13">
        <v>0.75</v>
      </c>
      <c r="C25" s="1"/>
      <c r="D25" s="1"/>
      <c r="E25" s="1"/>
    </row>
    <row r="26" spans="1:25" x14ac:dyDescent="0.3">
      <c r="A26" s="4" t="s">
        <v>14</v>
      </c>
      <c r="B26" s="5">
        <v>45717</v>
      </c>
      <c r="C26" s="6"/>
      <c r="D26" s="6"/>
      <c r="E26" s="5">
        <v>45931</v>
      </c>
      <c r="F26" s="6"/>
      <c r="G26" s="6"/>
      <c r="H26" s="5">
        <v>46082</v>
      </c>
      <c r="I26" s="6"/>
      <c r="J26" s="6"/>
      <c r="K26" s="5">
        <v>46296</v>
      </c>
      <c r="L26" s="6"/>
      <c r="M26" s="6"/>
      <c r="N26" s="5"/>
      <c r="O26" s="6"/>
      <c r="P26" s="6"/>
    </row>
    <row r="27" spans="1:25" x14ac:dyDescent="0.3">
      <c r="A27" s="4" t="s">
        <v>4</v>
      </c>
      <c r="B27" s="7" t="s">
        <v>10</v>
      </c>
      <c r="C27" s="7" t="s">
        <v>11</v>
      </c>
      <c r="D27" s="7" t="s">
        <v>12</v>
      </c>
      <c r="E27" s="7" t="s">
        <v>10</v>
      </c>
      <c r="F27" s="7" t="s">
        <v>11</v>
      </c>
      <c r="G27" s="7" t="s">
        <v>12</v>
      </c>
      <c r="H27" s="7" t="s">
        <v>10</v>
      </c>
      <c r="I27" s="7" t="s">
        <v>11</v>
      </c>
      <c r="J27" s="7" t="s">
        <v>12</v>
      </c>
      <c r="K27" s="7" t="s">
        <v>10</v>
      </c>
      <c r="L27" s="7" t="s">
        <v>11</v>
      </c>
      <c r="M27" s="7" t="s">
        <v>12</v>
      </c>
      <c r="N27" s="7" t="s">
        <v>10</v>
      </c>
      <c r="O27" s="7" t="s">
        <v>11</v>
      </c>
      <c r="P27" s="7" t="s">
        <v>12</v>
      </c>
    </row>
    <row r="28" spans="1:25" x14ac:dyDescent="0.3">
      <c r="A28" s="8" t="s">
        <v>5</v>
      </c>
      <c r="B28" s="7">
        <v>10</v>
      </c>
      <c r="C28" s="7">
        <v>11</v>
      </c>
      <c r="D28" s="9">
        <f>B28/C28</f>
        <v>0.90909090909090906</v>
      </c>
      <c r="E28" s="7">
        <v>11</v>
      </c>
      <c r="F28" s="7">
        <v>11</v>
      </c>
      <c r="G28" s="9">
        <f>E28/F28</f>
        <v>1</v>
      </c>
      <c r="H28" s="7">
        <v>9</v>
      </c>
      <c r="I28" s="7">
        <v>9</v>
      </c>
      <c r="J28" s="9">
        <f>H28/I28</f>
        <v>1</v>
      </c>
      <c r="K28" s="7">
        <v>5</v>
      </c>
      <c r="L28" s="7">
        <v>6</v>
      </c>
      <c r="M28" s="9">
        <f>K28/L28</f>
        <v>0.83333333333333337</v>
      </c>
      <c r="N28" s="7"/>
      <c r="O28" s="7"/>
      <c r="P28" s="9" t="e">
        <f>N28/O28</f>
        <v>#DIV/0!</v>
      </c>
    </row>
    <row r="29" spans="1:25" x14ac:dyDescent="0.3">
      <c r="A29" s="8" t="s">
        <v>20</v>
      </c>
      <c r="B29" s="7">
        <v>3</v>
      </c>
      <c r="C29" s="7">
        <v>3</v>
      </c>
      <c r="D29" s="9">
        <f t="shared" ref="D29:D31" si="16">B29/C29</f>
        <v>1</v>
      </c>
      <c r="E29" s="7">
        <v>1</v>
      </c>
      <c r="F29" s="7">
        <v>1</v>
      </c>
      <c r="G29" s="9">
        <f t="shared" ref="G29:G32" si="17">E29/F29</f>
        <v>1</v>
      </c>
      <c r="H29" s="7">
        <v>2</v>
      </c>
      <c r="I29" s="7">
        <v>2</v>
      </c>
      <c r="J29" s="9">
        <f t="shared" ref="J29:J32" si="18">H29/I29</f>
        <v>1</v>
      </c>
      <c r="K29" s="7">
        <v>3</v>
      </c>
      <c r="L29" s="7">
        <v>4</v>
      </c>
      <c r="M29" s="9">
        <f t="shared" ref="M29:M32" si="19">K29/L29</f>
        <v>0.75</v>
      </c>
      <c r="N29" s="7"/>
      <c r="O29" s="7"/>
      <c r="P29" s="9" t="e">
        <f t="shared" ref="P29:P32" si="20">N29/O29</f>
        <v>#DIV/0!</v>
      </c>
    </row>
    <row r="30" spans="1:25" x14ac:dyDescent="0.3">
      <c r="A30" s="8" t="s">
        <v>19</v>
      </c>
      <c r="B30" s="7" t="s">
        <v>29</v>
      </c>
      <c r="C30" s="7" t="s">
        <v>29</v>
      </c>
      <c r="D30" s="9" t="e">
        <f t="shared" si="16"/>
        <v>#VALUE!</v>
      </c>
      <c r="E30" s="7">
        <v>0</v>
      </c>
      <c r="F30" s="7">
        <v>2</v>
      </c>
      <c r="G30" s="9">
        <f t="shared" si="17"/>
        <v>0</v>
      </c>
      <c r="H30" s="7" t="s">
        <v>29</v>
      </c>
      <c r="I30" s="7" t="s">
        <v>29</v>
      </c>
      <c r="J30" s="9" t="e">
        <f t="shared" si="18"/>
        <v>#VALUE!</v>
      </c>
      <c r="K30" s="7">
        <v>2</v>
      </c>
      <c r="L30" s="7">
        <v>3</v>
      </c>
      <c r="M30" s="9">
        <f t="shared" si="19"/>
        <v>0.66666666666666663</v>
      </c>
      <c r="N30" s="7"/>
      <c r="O30" s="7"/>
      <c r="P30" s="9" t="e">
        <f t="shared" si="20"/>
        <v>#DIV/0!</v>
      </c>
    </row>
    <row r="31" spans="1:25" x14ac:dyDescent="0.3">
      <c r="A31" s="8" t="s">
        <v>34</v>
      </c>
      <c r="B31" s="7">
        <v>13</v>
      </c>
      <c r="C31" s="7">
        <v>16</v>
      </c>
      <c r="D31" s="9">
        <f t="shared" si="16"/>
        <v>0.8125</v>
      </c>
      <c r="E31" s="7">
        <v>12</v>
      </c>
      <c r="F31" s="7">
        <v>16</v>
      </c>
      <c r="G31" s="9">
        <f t="shared" si="17"/>
        <v>0.75</v>
      </c>
      <c r="H31" s="7">
        <v>12</v>
      </c>
      <c r="I31" s="7">
        <v>19</v>
      </c>
      <c r="J31" s="9">
        <f t="shared" si="18"/>
        <v>0.63157894736842102</v>
      </c>
      <c r="K31" s="7">
        <v>2</v>
      </c>
      <c r="L31" s="7">
        <v>2</v>
      </c>
      <c r="M31" s="9">
        <f t="shared" si="19"/>
        <v>1</v>
      </c>
      <c r="N31" s="7"/>
      <c r="O31" s="7"/>
      <c r="P31" s="9" t="e">
        <f t="shared" si="20"/>
        <v>#DIV/0!</v>
      </c>
    </row>
    <row r="32" spans="1:25" x14ac:dyDescent="0.3">
      <c r="A32" s="8" t="s">
        <v>13</v>
      </c>
      <c r="B32" s="7">
        <f>SUM(B28:B31)</f>
        <v>26</v>
      </c>
      <c r="C32" s="7">
        <f>SUM(C28:C31)</f>
        <v>30</v>
      </c>
      <c r="D32" s="11">
        <f>B32/C32</f>
        <v>0.8666666666666667</v>
      </c>
      <c r="E32" s="7">
        <f>SUM(E28:E31)</f>
        <v>24</v>
      </c>
      <c r="F32" s="7">
        <f>SUM(F28:F31)</f>
        <v>30</v>
      </c>
      <c r="G32" s="11">
        <f t="shared" si="17"/>
        <v>0.8</v>
      </c>
      <c r="H32" s="7">
        <f>SUM(H28:H31)</f>
        <v>23</v>
      </c>
      <c r="I32" s="7">
        <f>SUM(I28:I31)</f>
        <v>30</v>
      </c>
      <c r="J32" s="11">
        <f t="shared" si="18"/>
        <v>0.76666666666666672</v>
      </c>
      <c r="K32" s="7">
        <f>SUM(K28:K31)</f>
        <v>12</v>
      </c>
      <c r="L32" s="7">
        <f>SUM(L28:L31)</f>
        <v>15</v>
      </c>
      <c r="M32" s="11">
        <f t="shared" si="19"/>
        <v>0.8</v>
      </c>
      <c r="N32" s="7">
        <f>SUM(N28:N31)</f>
        <v>0</v>
      </c>
      <c r="O32" s="7">
        <f>SUM(O28:O31)</f>
        <v>0</v>
      </c>
      <c r="P32" s="14" t="e">
        <f t="shared" si="20"/>
        <v>#DIV/0!</v>
      </c>
    </row>
  </sheetData>
  <mergeCells count="21">
    <mergeCell ref="B26:D26"/>
    <mergeCell ref="E26:G26"/>
    <mergeCell ref="H26:J26"/>
    <mergeCell ref="K26:M26"/>
    <mergeCell ref="N26:P26"/>
    <mergeCell ref="T4:V4"/>
    <mergeCell ref="W4:Y4"/>
    <mergeCell ref="B15:D15"/>
    <mergeCell ref="E15:G15"/>
    <mergeCell ref="H15:J15"/>
    <mergeCell ref="K15:M15"/>
    <mergeCell ref="N15:P15"/>
    <mergeCell ref="Q15:S15"/>
    <mergeCell ref="T15:V15"/>
    <mergeCell ref="W15:Y15"/>
    <mergeCell ref="B4:D4"/>
    <mergeCell ref="E4:G4"/>
    <mergeCell ref="H4:J4"/>
    <mergeCell ref="K4:M4"/>
    <mergeCell ref="N4:P4"/>
    <mergeCell ref="Q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Supervisables</vt:lpstr>
      <vt:lpstr>Constatables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FUNCIONARIO</dc:creator>
  <cp:lastModifiedBy>Cristian Cardenas Espinoza</cp:lastModifiedBy>
  <dcterms:created xsi:type="dcterms:W3CDTF">2015-06-05T18:19:34Z</dcterms:created>
  <dcterms:modified xsi:type="dcterms:W3CDTF">2026-05-23T17:49:52Z</dcterms:modified>
</cp:coreProperties>
</file>