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 azul" sheetId="1" r:id="rId4"/>
    <sheet state="hidden" name="Hoja1" sheetId="2" r:id="rId5"/>
  </sheets>
  <definedNames/>
  <calcPr/>
  <extLst>
    <ext uri="GoogleSheetsCustomDataVersion1">
      <go:sheetsCustomData xmlns:go="http://customooxmlschemas.google.com/" r:id="rId6" roundtripDataSignature="AMtx7mgL8gsdlEMySXy/4qBpTnnoc79Yig=="/>
    </ext>
  </extLst>
</workbook>
</file>

<file path=xl/sharedStrings.xml><?xml version="1.0" encoding="utf-8"?>
<sst xmlns="http://schemas.openxmlformats.org/spreadsheetml/2006/main" count="31" uniqueCount="31">
  <si>
    <t>CONSTATACIÓN EN TERRENO CÓDIGO AZUL</t>
  </si>
  <si>
    <t>PRIORIZAR: TOMA DE MUESTRA, DENTAL, KINESIOLOGIA, PERSONAS QUE PASEN POR SALA ESPERA PRINCIPAL Y DENTAL</t>
  </si>
  <si>
    <t>UNIDAD:</t>
  </si>
  <si>
    <t>FUNCIONARIO:</t>
  </si>
  <si>
    <t>FECHA:</t>
  </si>
  <si>
    <t>CONDUCTA:(completar con si/no)</t>
  </si>
  <si>
    <t>Item 2</t>
  </si>
  <si>
    <t>¿Ha leido el protocolo código azul?</t>
  </si>
  <si>
    <t>Item 3</t>
  </si>
  <si>
    <t>¿Cuál es su responsabilidad según el protocolo?</t>
  </si>
  <si>
    <t>Item 4</t>
  </si>
  <si>
    <t>¿En qué caso se activa el protocolo?</t>
  </si>
  <si>
    <t>Item 5</t>
  </si>
  <si>
    <t>¿Quienes componen el equipo de rescate código azul?</t>
  </si>
  <si>
    <t>Item 6</t>
  </si>
  <si>
    <t>Explica como se activa el protocolo</t>
  </si>
  <si>
    <t>Resultado</t>
  </si>
  <si>
    <t>OBSERVACIÓN: SE OBTIENE UN TAMAÑO MUESTRAL DE 15 PERSONAS EN EL PERIODO, CON UNA DESVIACIÓN ESTÁNDAR DE 1 Y MARGEN DE ERROR DE 0.5%</t>
  </si>
  <si>
    <t>PERIODO CADA 3 MESES CON CUMPLIMIENTO PROGRESIVO DEFINIDO EN EVALUACION INSTITUCIONAL ANUAL. POR MES 5 PERSONAS ENCUESTADAS.</t>
  </si>
  <si>
    <t>Aprobados</t>
  </si>
  <si>
    <t>Reprobados</t>
  </si>
  <si>
    <t>Criterios</t>
  </si>
  <si>
    <t>SI</t>
  </si>
  <si>
    <t>NO</t>
  </si>
  <si>
    <t>Manos y muñecas libres de accesorios</t>
  </si>
  <si>
    <t>Se mojan manos con agua corriente</t>
  </si>
  <si>
    <t>Se aplica jabón de dispensador</t>
  </si>
  <si>
    <t>Se friccionan dedos y manos poniendo énfasis en espacios interdigitales</t>
  </si>
  <si>
    <t>Se enjuaga manos con abundante agua sin dejar jabón residual</t>
  </si>
  <si>
    <t>Se seca con toalla desechable</t>
  </si>
  <si>
    <t>Cierra la llave sin contaminar manos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</si>
</sst>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right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2" fontId="4" numFmtId="0" xfId="0" applyBorder="1" applyFill="1" applyFont="1"/>
    <xf borderId="4" fillId="0" fontId="4" numFmtId="0" xfId="0" applyBorder="1" applyFont="1"/>
    <xf borderId="5" fillId="0" fontId="3" numFmtId="0" xfId="0" applyAlignment="1" applyBorder="1" applyFont="1">
      <alignment horizontal="right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6" fillId="2" fontId="4" numFmtId="0" xfId="0" applyBorder="1" applyFont="1"/>
    <xf borderId="5" fillId="0" fontId="4" numFmtId="0" xfId="0" applyBorder="1" applyFont="1"/>
    <xf borderId="7" fillId="0" fontId="4" numFmtId="0" xfId="0" applyBorder="1" applyFont="1"/>
    <xf borderId="4" fillId="0" fontId="3" numFmtId="0" xfId="0" applyAlignment="1" applyBorder="1" applyFont="1">
      <alignment horizontal="right"/>
    </xf>
    <xf borderId="4" fillId="0" fontId="3" numFmtId="164" xfId="0" applyAlignment="1" applyBorder="1" applyFont="1" applyNumberFormat="1">
      <alignment horizontal="left" readingOrder="0"/>
    </xf>
    <xf borderId="4" fillId="2" fontId="3" numFmtId="164" xfId="0" applyAlignment="1" applyBorder="1" applyFont="1" applyNumberFormat="1">
      <alignment horizontal="left"/>
    </xf>
    <xf borderId="4" fillId="0" fontId="3" numFmtId="164" xfId="0" applyAlignment="1" applyBorder="1" applyFont="1" applyNumberFormat="1">
      <alignment horizontal="left"/>
    </xf>
    <xf borderId="8" fillId="3" fontId="3" numFmtId="0" xfId="0" applyAlignment="1" applyBorder="1" applyFill="1" applyFont="1">
      <alignment horizontal="center"/>
    </xf>
    <xf borderId="9" fillId="2" fontId="4" numFmtId="0" xfId="0" applyBorder="1" applyFont="1"/>
    <xf borderId="9" fillId="2" fontId="4" numFmtId="17" xfId="0" applyBorder="1" applyFont="1" applyNumberFormat="1"/>
    <xf borderId="0" fillId="0" fontId="5" numFmtId="0" xfId="0" applyFont="1"/>
    <xf borderId="10" fillId="0" fontId="4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readingOrder="0"/>
    </xf>
    <xf borderId="2" fillId="2" fontId="3" numFmtId="0" xfId="0" applyBorder="1" applyFont="1"/>
    <xf borderId="2" fillId="0" fontId="3" numFmtId="0" xfId="0" applyBorder="1" applyFont="1"/>
    <xf borderId="0" fillId="0" fontId="5" numFmtId="0" xfId="0" applyFont="1"/>
    <xf borderId="10" fillId="0" fontId="4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2" fillId="0" fontId="4" numFmtId="0" xfId="0" applyBorder="1" applyFont="1"/>
    <xf borderId="12" fillId="0" fontId="4" numFmtId="0" xfId="0" applyAlignment="1" applyBorder="1" applyFont="1">
      <alignment horizontal="left" vertical="center"/>
    </xf>
    <xf borderId="12" fillId="0" fontId="4" numFmtId="0" xfId="0" applyBorder="1" applyFont="1"/>
    <xf borderId="0" fillId="0" fontId="6" numFmtId="0" xfId="0" applyAlignment="1" applyFont="1">
      <alignment vertical="top"/>
    </xf>
    <xf borderId="11" fillId="0" fontId="6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shrinkToFit="0" wrapText="1"/>
    </xf>
    <xf borderId="13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>
    <tableStyle count="2" pivot="0" name="codigo azul-style">
      <tableStyleElement dxfId="1" type="firstRowStripe"/>
      <tableStyleElement dxfId="1" type="secondRowStripe"/>
    </tableStyle>
    <tableStyle count="3" pivot="0" name="Hoja1-style">
      <tableStyleElement dxfId="2" type="headerRow"/>
      <tableStyleElement dxfId="1" type="firstRowStripe"/>
      <tableStyleElement dxfId="1" type="secondRowStripe"/>
    </tableStyle>
    <tableStyle count="3" pivot="0" name="Hoja1-style 2">
      <tableStyleElement dxfId="2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Porcentaje de funcionarios/as que aprueba y reprueban cuestionario.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Hoja1!$B$7:$C$7</c:f>
            </c:strRef>
          </c:cat>
          <c:val>
            <c:numRef>
              <c:f>Hoja1!$B$8:$C$8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Comparativa por criterio de evaluación</a:t>
            </a:r>
          </a:p>
        </c:rich>
      </c:tx>
      <c:layout>
        <c:manualLayout>
          <c:xMode val="edge"/>
          <c:yMode val="edge"/>
          <c:x val="0.2712881234302117"/>
          <c:y val="0.0437756560819006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SI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Hoja1!$B$16:$B$22</c:f>
              <c:numCache/>
            </c:numRef>
          </c:val>
        </c:ser>
        <c:ser>
          <c:idx val="1"/>
          <c:order val="1"/>
          <c:tx>
            <c:v>NO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Hoja1!$C$16:$C$22</c:f>
              <c:numCache/>
            </c:numRef>
          </c:val>
        </c:ser>
        <c:axId val="1586083244"/>
        <c:axId val="660234496"/>
      </c:barChart>
      <c:catAx>
        <c:axId val="1586083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660234496"/>
      </c:catAx>
      <c:valAx>
        <c:axId val="660234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6083244"/>
      </c:valAx>
    </c:plotArea>
    <c:legend>
      <c:legendPos val="r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15</xdr:row>
      <xdr:rowOff>104775</xdr:rowOff>
    </xdr:from>
    <xdr:ext cx="4572000" cy="2876550"/>
    <xdr:graphicFrame>
      <xdr:nvGraphicFramePr>
        <xdr:cNvPr id="194842785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14</xdr:row>
      <xdr:rowOff>142875</xdr:rowOff>
    </xdr:from>
    <xdr:ext cx="8858250" cy="4333875"/>
    <xdr:graphicFrame>
      <xdr:nvGraphicFramePr>
        <xdr:cNvPr id="195410148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7:AI11" display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digo azul-style" showColumnStripes="0" showFirstColumn="1" showLastColumn="1" showRowStripes="1"/>
</table>
</file>

<file path=xl/tables/table2.xml><?xml version="1.0" encoding="utf-8"?>
<table xmlns="http://schemas.openxmlformats.org/spreadsheetml/2006/main" ref="B7:C8" displayName="Table_2" id="2">
  <tableColumns count="2">
    <tableColumn name="Aprobados" id="1"/>
    <tableColumn name="Reprobados" id="2"/>
  </tableColumns>
  <tableStyleInfo name="Hoja1-style" showColumnStripes="0" showFirstColumn="1" showLastColumn="1" showRowStripes="1"/>
</table>
</file>

<file path=xl/tables/table3.xml><?xml version="1.0" encoding="utf-8"?>
<table xmlns="http://schemas.openxmlformats.org/spreadsheetml/2006/main" ref="A15:C22" displayName="Table_3" id="3">
  <tableColumns count="3">
    <tableColumn name="Criterios" id="1"/>
    <tableColumn name="SI" id="2"/>
    <tableColumn name="NO" id="3"/>
  </tableColumns>
  <tableStyleInfo name="Hoj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3.57"/>
    <col customWidth="1" min="3" max="3" width="22.0"/>
    <col customWidth="1" min="4" max="4" width="16.86"/>
    <col customWidth="1" min="5" max="5" width="15.57"/>
    <col customWidth="1" min="6" max="6" width="14.14"/>
    <col customWidth="1" min="7" max="7" width="14.43"/>
    <col customWidth="1" min="8" max="8" width="15.14"/>
    <col customWidth="1" min="9" max="9" width="15.29"/>
    <col customWidth="1" min="10" max="10" width="16.29"/>
    <col customWidth="1" min="11" max="11" width="14.86"/>
    <col customWidth="1" min="12" max="12" width="15.29"/>
    <col customWidth="1" min="13" max="13" width="15.86"/>
    <col customWidth="1" min="14" max="14" width="15.14"/>
    <col customWidth="1" min="15" max="15" width="17.29"/>
    <col customWidth="1" min="16" max="16" width="17.43"/>
    <col customWidth="1" min="17" max="17" width="17.0"/>
    <col customWidth="1" min="18" max="18" width="18.14"/>
    <col customWidth="1" min="19" max="19" width="19.43"/>
    <col customWidth="1" min="20" max="20" width="22.14"/>
    <col customWidth="1" min="21" max="21" width="20.0"/>
    <col customWidth="1" min="22" max="22" width="20.14"/>
    <col customWidth="1" min="23" max="23" width="21.14"/>
    <col customWidth="1" min="24" max="24" width="22.71"/>
    <col customWidth="1" min="25" max="25" width="23.43"/>
    <col customWidth="1" min="26" max="26" width="20.57"/>
    <col customWidth="1" min="27" max="27" width="20.86"/>
    <col customWidth="1" min="28" max="29" width="20.71"/>
    <col customWidth="1" min="30" max="31" width="21.57"/>
    <col customWidth="1" min="32" max="32" width="18.14"/>
    <col customWidth="1" min="33" max="33" width="18.71"/>
    <col customWidth="1" min="34" max="34" width="16.0"/>
    <col customWidth="1" min="35" max="35" width="14.29"/>
  </cols>
  <sheetData>
    <row r="1">
      <c r="B1" s="1" t="s">
        <v>0</v>
      </c>
    </row>
    <row r="2">
      <c r="B2" s="2" t="s">
        <v>1</v>
      </c>
    </row>
    <row r="3" ht="22.5" customHeight="1">
      <c r="B3" s="3" t="s">
        <v>2</v>
      </c>
      <c r="C3" s="4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8"/>
      <c r="T3" s="8"/>
      <c r="U3" s="8"/>
      <c r="V3" s="8"/>
    </row>
    <row r="4" ht="20.25" customHeight="1">
      <c r="B4" s="9" t="s">
        <v>3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/>
      <c r="T4" s="13"/>
      <c r="U4" s="13"/>
      <c r="V4" s="14"/>
    </row>
    <row r="5" ht="20.25" customHeight="1">
      <c r="B5" s="15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8"/>
      <c r="T5" s="18"/>
      <c r="U5" s="18"/>
      <c r="V5" s="18"/>
    </row>
    <row r="6">
      <c r="B6" s="19" t="s">
        <v>5</v>
      </c>
      <c r="C6" s="20"/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27.0" customHeight="1">
      <c r="A7" s="22" t="s">
        <v>6</v>
      </c>
      <c r="B7" s="23" t="s">
        <v>7</v>
      </c>
      <c r="C7" s="24"/>
      <c r="D7" s="24"/>
      <c r="E7" s="24"/>
      <c r="F7" s="24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27"/>
      <c r="T7" s="27"/>
      <c r="U7" s="27"/>
      <c r="V7" s="27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ht="33.75" customHeight="1">
      <c r="A8" s="22" t="s">
        <v>8</v>
      </c>
      <c r="B8" s="23" t="s">
        <v>9</v>
      </c>
      <c r="C8" s="24"/>
      <c r="D8" s="24"/>
      <c r="E8" s="24"/>
      <c r="F8" s="24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  <c r="S8" s="27"/>
      <c r="T8" s="27"/>
      <c r="U8" s="27"/>
      <c r="V8" s="27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ht="32.25" customHeight="1">
      <c r="A9" s="22" t="s">
        <v>10</v>
      </c>
      <c r="B9" s="29" t="s">
        <v>11</v>
      </c>
      <c r="C9" s="24"/>
      <c r="D9" s="24"/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30"/>
    </row>
    <row r="10" ht="31.5" customHeight="1">
      <c r="A10" s="22" t="s">
        <v>12</v>
      </c>
      <c r="B10" s="29" t="s">
        <v>13</v>
      </c>
      <c r="C10" s="24"/>
      <c r="D10" s="24"/>
      <c r="E10" s="24"/>
      <c r="F10" s="24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6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0"/>
    </row>
    <row r="11" ht="33.0" customHeight="1">
      <c r="A11" s="22" t="s">
        <v>14</v>
      </c>
      <c r="B11" s="23" t="s">
        <v>15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30"/>
    </row>
    <row r="12" ht="21.0" customHeight="1">
      <c r="B12" s="31" t="s">
        <v>16</v>
      </c>
      <c r="C12" s="32" t="str">
        <f>IF(Hoja1!B4+Hoja1!B5&lt;5," ",IF(Hoja1!B4=5,"Aprobado","Reprobado"))</f>
        <v> </v>
      </c>
      <c r="D12" s="32" t="str">
        <f>IF(Hoja1!C4+Hoja1!C5&lt;5," ",IF(Hoja1!C4=5,"Aprobado","Reprobado"))</f>
        <v> </v>
      </c>
      <c r="E12" s="32" t="str">
        <f>IF(Hoja1!D4+Hoja1!D5&lt;5," ",IF(Hoja1!D4=5,"Aprobado","Reprobado"))</f>
        <v> </v>
      </c>
      <c r="F12" s="32" t="str">
        <f>IF(Hoja1!E4+Hoja1!E5&lt;5," ",IF(Hoja1!E4=5,"Aprobado","Reprobado"))</f>
        <v> </v>
      </c>
      <c r="G12" s="32" t="str">
        <f>IF(Hoja1!F4+Hoja1!F5&lt;5," ",IF(Hoja1!F4=5,"Aprobado","Reprobado"))</f>
        <v> </v>
      </c>
      <c r="H12" s="33" t="str">
        <f>IF(Hoja1!G4+Hoja1!G5&lt;5," ",IF(Hoja1!G4=5,"Aprobado","Reprobado"))</f>
        <v> </v>
      </c>
      <c r="I12" s="33" t="str">
        <f>IF(Hoja1!H4+Hoja1!H5&lt;5," ",IF(Hoja1!H4=5,"Aprobado","Reprobado"))</f>
        <v> </v>
      </c>
      <c r="J12" s="33" t="str">
        <f>IF(Hoja1!I4+Hoja1!I5&lt;5," ",IF(Hoja1!I4=5,"Aprobado","Reprobado"))</f>
        <v> </v>
      </c>
      <c r="K12" s="33" t="str">
        <f>IF(Hoja1!J4+Hoja1!J5&lt;5," ",IF(Hoja1!J4=5,"Aprobado","Reprobado"))</f>
        <v> </v>
      </c>
      <c r="L12" s="33" t="str">
        <f>IF(Hoja1!K4+Hoja1!K5&lt;5," ",IF(Hoja1!K4=5,"Aprobado","Reprobado"))</f>
        <v> </v>
      </c>
      <c r="M12" s="33" t="str">
        <f>IF(Hoja1!L4+Hoja1!L5&lt;5," ",IF(Hoja1!L4=5,"Aprobado","Reprobado"))</f>
        <v> </v>
      </c>
      <c r="N12" s="33" t="str">
        <f>IF(Hoja1!M4+Hoja1!M5&lt;5," ",IF(Hoja1!M4=5,"Aprobado","Reprobado"))</f>
        <v> </v>
      </c>
      <c r="O12" s="33" t="str">
        <f>IF(Hoja1!N4+Hoja1!N5&lt;5," ",IF(Hoja1!N4=5,"Aprobado","Reprobado"))</f>
        <v> </v>
      </c>
      <c r="P12" s="33" t="str">
        <f>IF(Hoja1!O4+Hoja1!O5&lt;5," ",IF(Hoja1!O4=5,"Aprobado","Reprobado"))</f>
        <v> </v>
      </c>
      <c r="Q12" s="33" t="str">
        <f>IF(Hoja1!P4+Hoja1!P5&lt;5," ",IF(Hoja1!P4=5,"Aprobado","Reprobado"))</f>
        <v> </v>
      </c>
      <c r="R12" s="20" t="str">
        <f>IF(Hoja1!Q4+Hoja1!Q5&lt;7," ",IF(Hoja1!Q4=7,"Aprobado","Reprobado"))</f>
        <v> </v>
      </c>
      <c r="S12" s="33" t="str">
        <f>IF(Hoja1!R4+Hoja1!R5&lt;7," ",IF(Hoja1!R4=7,"Aprobado","Reprobado"))</f>
        <v> </v>
      </c>
      <c r="T12" s="33" t="str">
        <f>IF(Hoja1!S4+Hoja1!S5&lt;7," ",IF(Hoja1!S4=7,"Aprobado","Reprobado"))</f>
        <v> </v>
      </c>
      <c r="U12" s="33" t="str">
        <f>IF(Hoja1!T4+Hoja1!T5&lt;7," ",IF(Hoja1!T4=7,"Aprobado","Reprobado"))</f>
        <v> </v>
      </c>
      <c r="V12" s="33" t="str">
        <f>IF(Hoja1!U4+Hoja1!U5&lt;7," ",IF(Hoja1!U4=7,"Aprobado","Reprobado"))</f>
        <v> </v>
      </c>
      <c r="W12" s="33" t="str">
        <f>IF(Hoja1!V4+Hoja1!V5&lt;7," ",IF(Hoja1!V4=7,"Aprobado","Reprobado"))</f>
        <v> </v>
      </c>
      <c r="X12" s="33" t="str">
        <f>IF(Hoja1!W4+Hoja1!W5&lt;7," ",IF(Hoja1!W4=7,"Aprobado","Reprobado"))</f>
        <v> </v>
      </c>
      <c r="Y12" s="33" t="str">
        <f>IF(Hoja1!X4+Hoja1!X5&lt;7," ",IF(Hoja1!X4=7,"Aprobado","Reprobado"))</f>
        <v> </v>
      </c>
      <c r="Z12" s="33" t="str">
        <f>IF(Hoja1!Y4+Hoja1!Y5&lt;7," ",IF(Hoja1!Y4=7,"Aprobado","Reprobado"))</f>
        <v> </v>
      </c>
      <c r="AA12" s="33" t="str">
        <f>IF(Hoja1!Z4+Hoja1!Z5&lt;7," ",IF(Hoja1!Z4=7,"Aprobado","Reprobado"))</f>
        <v> </v>
      </c>
      <c r="AB12" s="33" t="str">
        <f>IF(Hoja1!AA4+Hoja1!AA5&lt;7," ",IF(Hoja1!AA4=7,"Aprobado","Reprobado"))</f>
        <v> </v>
      </c>
      <c r="AC12" s="33" t="str">
        <f>IF(Hoja1!AB4+Hoja1!AB5&lt;7," ",IF(Hoja1!AB4=7,"Aprobado","Reprobado"))</f>
        <v> </v>
      </c>
      <c r="AD12" s="33" t="str">
        <f>IF(Hoja1!AC4+Hoja1!AC5&lt;7," ",IF(Hoja1!AC4=7,"Aprobado","Reprobado"))</f>
        <v> </v>
      </c>
      <c r="AE12" s="33" t="str">
        <f>IF(Hoja1!AD4+Hoja1!AD5&lt;7," ",IF(Hoja1!AD4=7,"Aprobado","Reprobado"))</f>
        <v> </v>
      </c>
      <c r="AF12" s="33" t="str">
        <f>IF(Hoja1!AE4+Hoja1!AE5&lt;7," ",IF(Hoja1!AE4=7,"Aprobado","Reprobado"))</f>
        <v> </v>
      </c>
      <c r="AG12" s="33" t="str">
        <f>IF(Hoja1!AF4+Hoja1!AF5&lt;7," ",IF(Hoja1!AF4=7,"Aprobado","Reprobado"))</f>
        <v> </v>
      </c>
      <c r="AH12" s="33" t="str">
        <f>IF(Hoja1!AG4+Hoja1!AG5&lt;7," ",IF(Hoja1!AG4=7,"Aprobado","Reprobado"))</f>
        <v> </v>
      </c>
      <c r="AI12" s="33" t="str">
        <f>IF(Hoja1!AH4+Hoja1!AH5&lt;7," ",IF(Hoja1!AH4=7,"Aprobado","Reprobado"))</f>
        <v> </v>
      </c>
    </row>
    <row r="13">
      <c r="B13" s="2" t="s">
        <v>17</v>
      </c>
    </row>
    <row r="14">
      <c r="B14" s="2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71"/>
    <col customWidth="1" min="3" max="3" width="13.71"/>
    <col customWidth="1" min="4" max="38" width="10.71"/>
  </cols>
  <sheetData>
    <row r="4">
      <c r="B4" s="22">
        <f>COUNTIF('codigo azul'!C7:C11,"si")</f>
        <v>0</v>
      </c>
      <c r="C4" s="22">
        <f>COUNTIF('codigo azul'!D7:D11,"si")</f>
        <v>0</v>
      </c>
      <c r="D4" s="22">
        <f>COUNTIF('codigo azul'!E7:E11,"si")</f>
        <v>0</v>
      </c>
      <c r="E4" s="22">
        <f>COUNTIF('codigo azul'!F7:F11,"si")</f>
        <v>0</v>
      </c>
      <c r="F4" s="22">
        <f>COUNTIF('codigo azul'!G7:G11,"si")</f>
        <v>0</v>
      </c>
      <c r="G4" s="22">
        <f>COUNTIF('codigo azul'!H7:H11,"si")</f>
        <v>0</v>
      </c>
      <c r="H4" s="22">
        <f>COUNTIF('codigo azul'!I7:I11,"si")</f>
        <v>0</v>
      </c>
      <c r="I4" s="22">
        <f>COUNTIF('codigo azul'!J7:J11,"si")</f>
        <v>0</v>
      </c>
      <c r="J4" s="22">
        <f>COUNTIF('codigo azul'!K7:K11,"si")</f>
        <v>0</v>
      </c>
      <c r="K4" s="22">
        <f>COUNTIF('codigo azul'!L7:L11,"si")</f>
        <v>0</v>
      </c>
      <c r="L4" s="22">
        <f>COUNTIF('codigo azul'!M7:M11,"si")</f>
        <v>0</v>
      </c>
      <c r="M4" s="22">
        <f>COUNTIF('codigo azul'!N7:N11,"si")</f>
        <v>0</v>
      </c>
      <c r="N4" s="22">
        <f>COUNTIF('codigo azul'!O7:O11,"si")</f>
        <v>0</v>
      </c>
      <c r="O4" s="22">
        <f>COUNTIF('codigo azul'!P7:P11,"si")</f>
        <v>0</v>
      </c>
      <c r="P4" s="22">
        <f>COUNTIF('codigo azul'!Q7:Q11,"si")</f>
        <v>0</v>
      </c>
      <c r="Q4" s="22">
        <f>COUNTIF('codigo azul'!R7:R11,"si")</f>
        <v>0</v>
      </c>
      <c r="R4" s="22">
        <f>COUNTIF('codigo azul'!S7:S11,"si")</f>
        <v>0</v>
      </c>
      <c r="S4" s="22">
        <f>COUNTIF('codigo azul'!T7:T11,"si")</f>
        <v>0</v>
      </c>
      <c r="T4" s="22">
        <f>COUNTIF('codigo azul'!U7:U11,"si")</f>
        <v>0</v>
      </c>
      <c r="U4" s="22">
        <f>COUNTIF('codigo azul'!V7:V11,"si")</f>
        <v>0</v>
      </c>
      <c r="V4" s="22">
        <f>COUNTIF('codigo azul'!W7:W11,"si")</f>
        <v>0</v>
      </c>
      <c r="W4" s="22">
        <f>COUNTIF('codigo azul'!X7:X11,"si")</f>
        <v>0</v>
      </c>
      <c r="X4" s="22">
        <f>COUNTIF('codigo azul'!Y7:Y11,"si")</f>
        <v>0</v>
      </c>
      <c r="Y4" s="22">
        <f>COUNTIF('codigo azul'!Z7:Z11,"si")</f>
        <v>0</v>
      </c>
      <c r="Z4" s="22">
        <f>COUNTIF('codigo azul'!AA7:AA11,"si")</f>
        <v>0</v>
      </c>
      <c r="AA4" s="22">
        <f>COUNTIF('codigo azul'!AB7:AB11,"si")</f>
        <v>0</v>
      </c>
      <c r="AB4" s="22">
        <f>COUNTIF('codigo azul'!AC7:AC11,"si")</f>
        <v>0</v>
      </c>
      <c r="AC4" s="22">
        <f>COUNTIF('codigo azul'!AD7:AD11,"si")</f>
        <v>0</v>
      </c>
      <c r="AD4" s="22">
        <f>COUNTIF('codigo azul'!AE7:AE11,"si")</f>
        <v>0</v>
      </c>
      <c r="AE4" s="22">
        <f>COUNTIF('codigo azul'!AF7:AF11,"si")</f>
        <v>0</v>
      </c>
      <c r="AF4" s="22">
        <f>COUNTIF('codigo azul'!AG7:AG11,"si")</f>
        <v>0</v>
      </c>
      <c r="AG4" s="22">
        <f>COUNTIF('codigo azul'!AH7:AH11,"si")</f>
        <v>0</v>
      </c>
      <c r="AH4" s="22">
        <f>COUNTIF('codigo azul'!AI7:AI11,"si")</f>
        <v>0</v>
      </c>
      <c r="AI4" s="22">
        <f>COUNTIF('codigo azul'!AJ7:AJ11,"si")</f>
        <v>0</v>
      </c>
      <c r="AJ4" s="22">
        <f>COUNTIF('codigo azul'!AK7:AK11,"si")</f>
        <v>0</v>
      </c>
      <c r="AK4" s="22">
        <f>COUNTIF('codigo azul'!AL7:AL11,"si")</f>
        <v>0</v>
      </c>
      <c r="AL4" s="22">
        <f>COUNTIF('codigo azul'!AM7:AM11,"si")</f>
        <v>0</v>
      </c>
    </row>
    <row r="5">
      <c r="B5" s="22">
        <f>COUNTIF('codigo azul'!C7:C11,"no")</f>
        <v>0</v>
      </c>
      <c r="C5" s="22">
        <f>COUNTIF('codigo azul'!D7:D11,"no")</f>
        <v>0</v>
      </c>
      <c r="D5" s="22">
        <f>COUNTIF('codigo azul'!E7:E11,"no")</f>
        <v>0</v>
      </c>
      <c r="E5" s="22">
        <f>COUNTIF('codigo azul'!F7:F11,"no")</f>
        <v>0</v>
      </c>
      <c r="F5" s="22">
        <f>COUNTIF('codigo azul'!G7:G11,"no")</f>
        <v>0</v>
      </c>
      <c r="G5" s="22">
        <f>COUNTIF('codigo azul'!H7:H11,"no")</f>
        <v>0</v>
      </c>
      <c r="H5" s="22">
        <f>COUNTIF('codigo azul'!I7:I11,"no")</f>
        <v>0</v>
      </c>
      <c r="I5" s="22">
        <f>COUNTIF('codigo azul'!J7:J11,"no")</f>
        <v>0</v>
      </c>
      <c r="J5" s="22">
        <f>COUNTIF('codigo azul'!K7:K11,"no")</f>
        <v>0</v>
      </c>
      <c r="K5" s="22">
        <f>COUNTIF('codigo azul'!L7:L11,"no")</f>
        <v>0</v>
      </c>
      <c r="L5" s="22">
        <f>COUNTIF('codigo azul'!M7:M11,"no")</f>
        <v>0</v>
      </c>
      <c r="M5" s="22">
        <f>COUNTIF('codigo azul'!N7:N11,"no")</f>
        <v>0</v>
      </c>
      <c r="N5" s="22">
        <f>COUNTIF('codigo azul'!O7:O11,"no")</f>
        <v>0</v>
      </c>
      <c r="O5" s="22">
        <f>COUNTIF('codigo azul'!P7:P11,"no")</f>
        <v>0</v>
      </c>
      <c r="P5" s="22">
        <f>COUNTIF('codigo azul'!Q7:Q11,"no")</f>
        <v>0</v>
      </c>
      <c r="Q5" s="22">
        <f>COUNTIF('codigo azul'!R7:R11,"no")</f>
        <v>0</v>
      </c>
      <c r="R5" s="22">
        <f>COUNTIF('codigo azul'!S7:S11,"no")</f>
        <v>0</v>
      </c>
      <c r="S5" s="22">
        <f>COUNTIF('codigo azul'!T7:T11,"no")</f>
        <v>0</v>
      </c>
      <c r="T5" s="22">
        <f>COUNTIF('codigo azul'!U7:U11,"no")</f>
        <v>0</v>
      </c>
      <c r="U5" s="22">
        <f>COUNTIF('codigo azul'!V7:V11,"no")</f>
        <v>0</v>
      </c>
      <c r="V5" s="22">
        <f>COUNTIF('codigo azul'!W7:W11,"no")</f>
        <v>0</v>
      </c>
      <c r="W5" s="22">
        <f>COUNTIF('codigo azul'!X7:X11,"no")</f>
        <v>0</v>
      </c>
      <c r="X5" s="22">
        <f>COUNTIF('codigo azul'!Y7:Y11,"no")</f>
        <v>0</v>
      </c>
      <c r="Y5" s="22">
        <f>COUNTIF('codigo azul'!Z7:Z11,"no")</f>
        <v>0</v>
      </c>
      <c r="Z5" s="22">
        <f>COUNTIF('codigo azul'!AA7:AA11,"no")</f>
        <v>0</v>
      </c>
      <c r="AA5" s="22">
        <f>COUNTIF('codigo azul'!AB7:AB11,"no")</f>
        <v>0</v>
      </c>
      <c r="AB5" s="22">
        <f>COUNTIF('codigo azul'!AC7:AC11,"no")</f>
        <v>0</v>
      </c>
      <c r="AC5" s="22">
        <f>COUNTIF('codigo azul'!AD7:AD11,"no")</f>
        <v>0</v>
      </c>
      <c r="AD5" s="22">
        <f>COUNTIF('codigo azul'!AE7:AE11,"no")</f>
        <v>0</v>
      </c>
      <c r="AE5" s="22">
        <f>COUNTIF('codigo azul'!AF7:AF11,"no")</f>
        <v>0</v>
      </c>
      <c r="AF5" s="22">
        <f>COUNTIF('codigo azul'!AG7:AG11,"no")</f>
        <v>0</v>
      </c>
      <c r="AG5" s="22">
        <f>COUNTIF('codigo azul'!AH7:AH11,"no")</f>
        <v>0</v>
      </c>
      <c r="AH5" s="22">
        <f>COUNTIF('codigo azul'!AI7:AI11,"no")</f>
        <v>0</v>
      </c>
      <c r="AI5" s="22">
        <f>COUNTIF('codigo azul'!AJ7:AJ11,"no")</f>
        <v>0</v>
      </c>
      <c r="AJ5" s="22">
        <f>COUNTIF('codigo azul'!AK7:AK11,"no")</f>
        <v>0</v>
      </c>
      <c r="AK5" s="22">
        <f>COUNTIF('codigo azul'!AL7:AL11,"no")</f>
        <v>0</v>
      </c>
      <c r="AL5" s="22">
        <f>COUNTIF('codigo azul'!AM7:AM11,"no")</f>
        <v>0</v>
      </c>
    </row>
    <row r="7">
      <c r="B7" s="28" t="s">
        <v>19</v>
      </c>
      <c r="C7" s="28" t="s">
        <v>20</v>
      </c>
    </row>
    <row r="8">
      <c r="B8" s="28">
        <f>COUNTIF('codigo azul'!C12:AI12,"Aprobado")</f>
        <v>0</v>
      </c>
      <c r="C8" s="28">
        <f>COUNTIF('codigo azul'!C12:AI12,"Reprobado")</f>
        <v>0</v>
      </c>
    </row>
    <row r="15">
      <c r="A15" s="34" t="s">
        <v>21</v>
      </c>
      <c r="B15" s="28" t="s">
        <v>22</v>
      </c>
      <c r="C15" s="28" t="s">
        <v>23</v>
      </c>
    </row>
    <row r="16">
      <c r="A16" s="35" t="s">
        <v>24</v>
      </c>
      <c r="B16" s="36">
        <f>COUNTIF('codigo azul'!C7:AI7,"si")</f>
        <v>0</v>
      </c>
      <c r="C16" s="36">
        <f>COUNTIF('codigo azul'!C7:AI7,"no")</f>
        <v>0</v>
      </c>
    </row>
    <row r="17">
      <c r="A17" s="35" t="s">
        <v>25</v>
      </c>
      <c r="B17" s="36">
        <f>COUNTIF('codigo azul'!C8:AI8,"si")</f>
        <v>0</v>
      </c>
      <c r="C17" s="28">
        <f>COUNTIF('codigo azul'!C8:AI8,"no")</f>
        <v>0</v>
      </c>
    </row>
    <row r="18">
      <c r="A18" s="35" t="s">
        <v>26</v>
      </c>
      <c r="B18" s="36">
        <f>COUNTIF('codigo azul'!C9:AI9,"si")</f>
        <v>0</v>
      </c>
      <c r="C18" s="28">
        <f>COUNTIF('codigo azul'!C9:AI9,"no")</f>
        <v>0</v>
      </c>
    </row>
    <row r="19">
      <c r="A19" s="35" t="s">
        <v>27</v>
      </c>
      <c r="B19" s="36">
        <f>COUNTIF('codigo azul'!C10:AI10,"si")</f>
        <v>0</v>
      </c>
      <c r="C19" s="28">
        <f>COUNTIF('codigo azul'!C10:AI10,"no")</f>
        <v>0</v>
      </c>
    </row>
    <row r="20">
      <c r="A20" s="35" t="s">
        <v>28</v>
      </c>
      <c r="B20" s="36">
        <f>COUNTIF('codigo azul'!C11:AI11,"si")</f>
        <v>0</v>
      </c>
      <c r="C20" s="28">
        <f>COUNTIF('codigo azul'!C11:AI11,"no")</f>
        <v>0</v>
      </c>
    </row>
    <row r="21" ht="15.75" customHeight="1">
      <c r="A21" s="35" t="s">
        <v>29</v>
      </c>
      <c r="B21" s="36" t="str">
        <f>COUNTIF('codigo azul'!#REF!,"si")</f>
        <v>#ERROR!</v>
      </c>
      <c r="C21" s="28" t="str">
        <f>COUNTIF('codigo azul'!#REF!,"no")</f>
        <v>#ERROR!</v>
      </c>
    </row>
    <row r="22" ht="15.75" customHeight="1">
      <c r="A22" s="35" t="s">
        <v>30</v>
      </c>
      <c r="B22" s="37" t="str">
        <f>COUNTIF('codigo azul'!#REF!,"si")</f>
        <v>#ERROR!</v>
      </c>
      <c r="C22" s="28" t="str">
        <f>COUNTIF('codigo azul'!#REF!,"no")</f>
        <v>#ERROR!</v>
      </c>
    </row>
    <row r="23" ht="15.75" customHeight="1">
      <c r="B23" s="38"/>
    </row>
    <row r="24" ht="15.75" customHeight="1">
      <c r="B24" s="38"/>
    </row>
    <row r="25" ht="15.75" customHeight="1">
      <c r="B25" s="38"/>
    </row>
    <row r="26" ht="15.75" customHeight="1">
      <c r="B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2021-09-07T17:52:53Z</dcterms:created>
  <dc:creator>S.Generales</dc:creator>
</cp:coreProperties>
</file>